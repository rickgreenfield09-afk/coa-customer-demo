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tup" state="visible" r:id="rId4"/>
    <sheet sheetId="2" name="Scenarios" state="visible" r:id="rId5"/>
    <sheet sheetId="3" name="Steps" state="visible" r:id="rId6"/>
    <sheet sheetId="4" name="S1" state="visible" r:id="rId7"/>
    <sheet sheetId="5" name="S2" state="visible" r:id="rId8"/>
    <sheet sheetId="6" name="S3" state="visible" r:id="rId9"/>
    <sheet sheetId="7" name="S4" state="visible" r:id="rId10"/>
    <sheet sheetId="8" name="S5" state="visible" r:id="rId11"/>
    <sheet sheetId="9" name="S6" state="visible" r:id="rId12"/>
    <sheet sheetId="10" name="S7" state="visible" r:id="rId13"/>
    <sheet sheetId="11" name="S8" state="visible" r:id="rId14"/>
    <sheet sheetId="12" name="Emails" state="visible" r:id="rId15"/>
    <sheet sheetId="13" name="Controls" state="visible" r:id="rId16"/>
    <sheet sheetId="14" name="Watch List" state="visible" r:id="rId17"/>
    <sheet sheetId="15" name="Defects" state="visible" r:id="rId18"/>
  </sheets>
  <calcPr calcId="171027" fullCalcOnLoad="1"/>
</workbook>
</file>

<file path=xl/sharedStrings.xml><?xml version="1.0" encoding="utf-8"?>
<sst xmlns="http://schemas.openxmlformats.org/spreadsheetml/2006/main" count="4819" uniqueCount="1361">
  <si>
    <t>Travel Estimate &amp; Expense — User Testing Workbook</t>
  </si>
  <si>
    <t>Math is shown as live formulas on each scenario tab. You verify the app against these numbers by hand; the Result cells only compare what you type.</t>
  </si>
  <si>
    <t>SETTINGS (blue = edit)</t>
  </si>
  <si>
    <t>Fee multiplier (travel_settings.fee_multiplier)</t>
  </si>
  <si>
    <t>Applied to every ODC line except per diem meals and EWW. Confirm the Supervisor review screen shows "Fee Multiplier Used: 1.1274x" before you start.</t>
  </si>
  <si>
    <t>Dollar tolerance for PASS</t>
  </si>
  <si>
    <t>Cents. A value within this of the expected figure counts as PASS.</t>
  </si>
  <si>
    <t>App build under test (commit)</t>
  </si>
  <si>
    <t>a3249e3</t>
  </si>
  <si>
    <t>Update if the app is redeployed during testing.</t>
  </si>
  <si>
    <t>Tester name</t>
  </si>
  <si>
    <t>Add initials to every Event Name you type (see rule below).</t>
  </si>
  <si>
    <t>Test date</t>
  </si>
  <si>
    <t>Browser / device</t>
  </si>
  <si>
    <t>HOW TO USE</t>
  </si>
  <si>
    <t>1. Steps tab</t>
  </si>
  <si>
    <t>Run-sheet</t>
  </si>
  <si>
    <t>Go scenario by scenario. Do the step, check what it says, set the Status. One person runs one scenario at a time.</t>
  </si>
  <si>
    <t>2. Scenario tabs (S1-S8)</t>
  </si>
  <si>
    <t>Inputs + math</t>
  </si>
  <si>
    <t>Type the blue inputs exactly. Read the math rows. Then fill the yellow Actual cells in the Screen Checkpoints; Result turns PASS/FAIL.</t>
  </si>
  <si>
    <t>3. Emails tab</t>
  </si>
  <si>
    <t>Count + verify</t>
  </si>
  <si>
    <t>Log every email that arrives. The summary at the top compares expected vs received per scenario.</t>
  </si>
  <si>
    <t>4. Controls tab</t>
  </si>
  <si>
    <t>Coverage</t>
  </si>
  <si>
    <t>Shows every control and which scenarios exercise it. A GAP means no scenario touches it.</t>
  </si>
  <si>
    <t>5. Watch List tab</t>
  </si>
  <si>
    <t>Suspected issues</t>
  </si>
  <si>
    <t>Hypotheses from reading the code. Confirm or clear each during the run.</t>
  </si>
  <si>
    <t>6. Defects tab</t>
  </si>
  <si>
    <t>Log</t>
  </si>
  <si>
    <t>Anything wrong that is not already on the Watch List.</t>
  </si>
  <si>
    <t>EVENT NAME RULE (so emails can be matched)</t>
  </si>
  <si>
    <t>Type exactly</t>
  </si>
  <si>
    <t>S2 Customer Site Visit - JD</t>
  </si>
  <si>
    <t>Scenario ID + name + your initials. The Event Name appears in the heading of the full emails. The short notices name the trip by city and show the Tracking # once one exists. Note the time of each action to tell look-alike emails apart.</t>
  </si>
  <si>
    <t>TRACKING NUMBERS</t>
  </si>
  <si>
    <t>Format</t>
  </si>
  <si>
    <t>SLIN code + hyphen + 5 digits</t>
  </si>
  <si>
    <t>Example: 6200AE-00001. The SLIN is the one the Supervisor picks at approval.</t>
  </si>
  <si>
    <t>When it is issued</t>
  </si>
  <si>
    <t>First Supervisor approval only</t>
  </si>
  <si>
    <t>A request returned by the Prime and approved again keeps the same number. A request denied or cancelled before its first approval never gets one.</t>
  </si>
  <si>
    <t>Where it must appear</t>
  </si>
  <si>
    <t>Every message after approval</t>
  </si>
  <si>
    <t>Both approval emails, the authorize / return / deny notices, the submit emails on a resubmission, and every expense email. The expense report uses the same number as its estimate.</t>
  </si>
  <si>
    <t>Counter</t>
  </si>
  <si>
    <t>One sequence across all SLINs</t>
  </si>
  <si>
    <t>00001, 00002, 00003 ... in approval order (Watch W7).</t>
  </si>
  <si>
    <t>WHICH COSTS ARE MULTIPLIED BY TRAVELERS</t>
  </si>
  <si>
    <t>Per traveler (x Travelers)</t>
  </si>
  <si>
    <t>Total Lodging Cost, Airfare, Baggage, Airport Parking</t>
  </si>
  <si>
    <t>Enter the amount for ONE traveler. Per Diem Meals is also per traveler.</t>
  </si>
  <si>
    <t>Trip-level (not multiplied)</t>
  </si>
  <si>
    <t>Rental Car, Gas, Parking, Tolls, Rideshare, Mileage, Shipping (to), Shipping (back)</t>
  </si>
  <si>
    <t>Enter the amount for the whole trip.</t>
  </si>
  <si>
    <t>Marked up by the multiplier</t>
  </si>
  <si>
    <t>Everything above except Per Diem Meals</t>
  </si>
  <si>
    <t>EWW is never marked up.</t>
  </si>
  <si>
    <t>THE MATH, IN ONE PLACE</t>
  </si>
  <si>
    <t>Nights</t>
  </si>
  <si>
    <t>Return date - Leave date</t>
  </si>
  <si>
    <t>Per Diem Meals (per traveler)</t>
  </si>
  <si>
    <t>1.5 x M&amp;IE + (Nights - 1, min 0) x M&amp;IE</t>
  </si>
  <si>
    <t>First and last day are each 75% (1.5x combined); every day in between is 100%.</t>
  </si>
  <si>
    <t>Per Traveler Subtotal</t>
  </si>
  <si>
    <t>Per Diem + Total Lodging + Airfare + Airport Parking + Baggage</t>
  </si>
  <si>
    <t>Trip Lead Total</t>
  </si>
  <si>
    <t>Per Traveler Subtotal x Travelers + trip-level costs</t>
  </si>
  <si>
    <t>Internal figure (no markup).</t>
  </si>
  <si>
    <t>EWW Total</t>
  </si>
  <si>
    <t>Sum over travelers of (rate x hours)</t>
  </si>
  <si>
    <t>Entered by the Supervisor at review.</t>
  </si>
  <si>
    <t>Billable to Prime (ODC)</t>
  </si>
  <si>
    <t>(per-traveler costs x Travelers + trip-level costs) x multiplier + Per Diem x Travelers</t>
  </si>
  <si>
    <t>Grand Total to Prime</t>
  </si>
  <si>
    <t>Billable to Prime (ODC) + EWW Total</t>
  </si>
  <si>
    <t>The only total the Prime sees.</t>
  </si>
  <si>
    <t>GSA lodging limit</t>
  </si>
  <si>
    <t>Room Cost / Nights must be &lt;= GSA Lodging Rate</t>
  </si>
  <si>
    <t>Fees and taxes do NOT count. Over the limit =&gt; 3 comparison quotes required.</t>
  </si>
  <si>
    <t>WHERE A NUMBER SHOWS UP</t>
  </si>
  <si>
    <t>Employee form</t>
  </si>
  <si>
    <t>Nights, Full Days, Per Diem, Per Traveler Subtotal, Trip Lead Total</t>
  </si>
  <si>
    <t>No markup figures for an Employee.</t>
  </si>
  <si>
    <t>My Estimates list / Supervisor queue</t>
  </si>
  <si>
    <t>Grand Total = Trip Lead Total + EWW (internal)</t>
  </si>
  <si>
    <t>Supervisor review</t>
  </si>
  <si>
    <t>All of the above + EWW, Grand Total, Billable to Prime (ODC), Grand Total to Prime, per-line Billable column</t>
  </si>
  <si>
    <t>Line items are per traveler / per trip, so they do not sum to the totals when Travelers &gt; 1.</t>
  </si>
  <si>
    <t>Prime queue + email</t>
  </si>
  <si>
    <t>Grand Total to Prime (stored figure)</t>
  </si>
  <si>
    <t>Prime review form</t>
  </si>
  <si>
    <t>Every ODC field shown already marked up (rounded to cents), totals recomputed from those</t>
  </si>
  <si>
    <t>Matches the Prime queue, the emails and the Supervisor figures to the cent: every marked-up line is rounded first, then summed.</t>
  </si>
  <si>
    <t>Expense form</t>
  </si>
  <si>
    <t>Estimated (internal, unmarked) vs Actual per category; totals; Variance vs Estimate</t>
  </si>
  <si>
    <t>LEGEND</t>
  </si>
  <si>
    <t>Blue text</t>
  </si>
  <si>
    <t>Input to type</t>
  </si>
  <si>
    <t>Black text</t>
  </si>
  <si>
    <t>Formula (do not edit)</t>
  </si>
  <si>
    <t>Green text</t>
  </si>
  <si>
    <t>Link to another tab</t>
  </si>
  <si>
    <t>Yellow cell</t>
  </si>
  <si>
    <t>You fill this in</t>
  </si>
  <si>
    <t>Gray cell</t>
  </si>
  <si>
    <t>Informational, no check</t>
  </si>
  <si>
    <t>Scenario index</t>
  </si>
  <si>
    <t>Eight scripted scenarios covering every role, every status, and every control. Progress columns fill in as you work the Steps and Emails tabs.</t>
  </si>
  <si>
    <t>ID</t>
  </si>
  <si>
    <t>Scenario</t>
  </si>
  <si>
    <t>Travel type</t>
  </si>
  <si>
    <t>Max travelers</t>
  </si>
  <si>
    <t>EWW travelers</t>
  </si>
  <si>
    <t>What it proves</t>
  </si>
  <si>
    <t>Steps</t>
  </si>
  <si>
    <t>Steps done</t>
  </si>
  <si>
    <t>Emails exp.</t>
  </si>
  <si>
    <t>Emails rcvd</t>
  </si>
  <si>
    <t>S1</t>
  </si>
  <si>
    <t>Solo drive trip, under GSA, no EWW</t>
  </si>
  <si>
    <t>Drive (personal vehicle)</t>
  </si>
  <si>
    <t>Baseline. One traveler, no flights, no EWW. Proves the core math, the happy path through every role, a clean expense report (no variance), the tracking number, and the full email set.</t>
  </si>
  <si>
    <t>S2</t>
  </si>
  <si>
    <t>Fly + rental car, 2 travelers, 1 with EWW</t>
  </si>
  <si>
    <t>Fly + rental car</t>
  </si>
  <si>
    <t>Per-traveler vs trip-level math with two travelers, one EWW traveler (Traveler 2 has none), and the richest expense report: two categories &gt;10% over, two additional (unestimated) categories, receipt add/remove and form Cancel. Proves EWW carries from the estimate to the expense exactly.</t>
  </si>
  <si>
    <t>S3</t>
  </si>
  <si>
    <t>Lodging limit rules (fees/taxes excluded, over-limit quotes)</t>
  </si>
  <si>
    <t>Fly, hotel conference</t>
  </si>
  <si>
    <t>The per diem lodging limit applies to the ROOM rate only. S3a proves taxes and fees do not trigger the limit. S3b proves an over-limit room rate forces three comparison quotes, and that the quotes flow to the Supervisor.</t>
  </si>
  <si>
    <t>S4</t>
  </si>
  <si>
    <t>Long stay, 4 travelers, 2 with EWW</t>
  </si>
  <si>
    <t>Fly + rideshare + shipping</t>
  </si>
  <si>
    <t>Maximum multiplier effect: 4 travelers, 10 nights, two EWW travelers with different rates and hours. Exercises traveler add/remove, an actual-date change on the expense side, and a variance on rideshare and return shipping.</t>
  </si>
  <si>
    <t>S5</t>
  </si>
  <si>
    <t>Edge dates: one night and same day</t>
  </si>
  <si>
    <t>Fly (1 night) / local (same day)</t>
  </si>
  <si>
    <t>GSA first/last-day rule at its boundaries. One night = two 75% days (1.5x M&amp;IE, zero full days). Same day (0 nights) is an observation: record what the app produces and take it to the team (Watch W1 has the question written out).</t>
  </si>
  <si>
    <t>S6</t>
  </si>
  <si>
    <t>Validation rules + Supervisor return and resubmit</t>
  </si>
  <si>
    <t>Fly, 2 travelers</t>
  </si>
  <si>
    <t>Every blocking rule on the estimate form, then a Return round-trip: the Supervisor enters EWW and returns the estimate, the employee sees the note, corrects airfare and resubmits, and the EWW survives.</t>
  </si>
  <si>
    <t>S7</t>
  </si>
  <si>
    <t>Deny, return and cancel paths</t>
  </si>
  <si>
    <t>Fly, 1 traveler (light data)</t>
  </si>
  <si>
    <t>Every way an estimate can end other than paid: Supervisor deny, Prime return then deny, and employee cancel from draft and submitted. Denied requests are stored read-only. A returned request keeps its tracking number through re-approval. Math is light here; the focus is status, notes, tracking number and emails.</t>
  </si>
  <si>
    <t>S8</t>
  </si>
  <si>
    <t>Expense return and resubmit, expense deny</t>
  </si>
  <si>
    <t>The expense-side rejection paths. Two minimal authorized estimates: S8a's expense report is returned, corrected and resubmitted, then approved; S8b's is denied and stored read-only.</t>
  </si>
  <si>
    <t>Run-sheet — every step of every scenario</t>
  </si>
  <si>
    <t>Do the step, read the Check column, set Status. "Observe" = record what you see, no pass/fail (policy or known-risk items).</t>
  </si>
  <si>
    <t>Step</t>
  </si>
  <si>
    <t>Persona</t>
  </si>
  <si>
    <t>Estimate</t>
  </si>
  <si>
    <t>Do this</t>
  </si>
  <si>
    <t>Controls</t>
  </si>
  <si>
    <t>Check / expect</t>
  </si>
  <si>
    <t>Emails</t>
  </si>
  <si>
    <t>Email IDs</t>
  </si>
  <si>
    <t>Status</t>
  </si>
  <si>
    <t>Your notes</t>
  </si>
  <si>
    <t>Employee</t>
  </si>
  <si>
    <t>Travel &gt; My Estimates &gt; New Travel Estimate. Type Event Name, City, pick State from the list, pick a Contract.</t>
  </si>
  <si>
    <t>E01, E02, E03, E04</t>
  </si>
  <si>
    <t>Rate fields auto-fill from the GSA lookup (any value is fine - you overwrite them next).</t>
  </si>
  <si>
    <t>Set Leave Date and Return Date. Leave Travelers at 1.</t>
  </si>
  <si>
    <t>E05, E06, E07</t>
  </si>
  <si>
    <t>Checkpoints A1 (Nights) and A2 (Full Days).</t>
  </si>
  <si>
    <t>AFTER the lookup finishes, overwrite GSA Lodging Rate and Meals (M&amp;IE) Rate with the scripted values. Click a field, type the number, Tab out.</t>
  </si>
  <si>
    <t>E11, E12, E33</t>
  </si>
  <si>
    <t>Field clears on click and reformats as $X.XX on Tab. Checkpoint A3 (Per Diem Meals Total).</t>
  </si>
  <si>
    <t>Enter Room Cost, Total Lodging Cost, Lodging Fees, Lodging Taxes, then Mileage, Gas, Parking, Tolls. Leave everything else at $0.00.</t>
  </si>
  <si>
    <t>E13, E14, E15, E16, E25, E26, E27, E29</t>
  </si>
  <si>
    <t>No red GSA warning appears. Checkpoints A4 and A5. Employee view shows only Per Traveler Subtotal and Trip Lead Total (no markup figures).</t>
  </si>
  <si>
    <t>Click Save as Draft. Then open the draft from the Pending card (Edit Draft).</t>
  </si>
  <si>
    <t>E30, L01, G03, L03</t>
  </si>
  <si>
    <t>Toast says "Draft saved." Row shows status draft. Every value and the Event Name persist after reopening. No email for a draft.</t>
  </si>
  <si>
    <t>Click Submit Estimate.</t>
  </si>
  <si>
    <t>E31, G03</t>
  </si>
  <si>
    <t>Toast "Travel estimate submitted." Row moves to status submitted. Checkpoint B1. No tracking number exists yet.</t>
  </si>
  <si>
    <t>S1-E1, S1-E2</t>
  </si>
  <si>
    <t>Supervisor</t>
  </si>
  <si>
    <t>Switch Role &gt; Supervisor. Travel &gt; Approvals. Find the estimate under "Estimates Needing Approval" and click Review. Click Close once, then click Review again.</t>
  </si>
  <si>
    <t>G01, S01, S11, S12</t>
  </si>
  <si>
    <t>Close dismisses the review without a decision. Queue Grand Total matches B1. Form is read-only. Fee Multiplier Used shows 1.1274x (if not, stop and fix Setup C5). Tracking Number reads "Assigned on approval".</t>
  </si>
  <si>
    <t>Leave every EWW rate/hours field at $0.00 / 0 (no EWW on this trip).</t>
  </si>
  <si>
    <t>S02, S03</t>
  </si>
  <si>
    <t>Checkpoints C1-C6 and the billable line column (C-L rows).</t>
  </si>
  <si>
    <t>Billing Assignment: pick Contract, then Task Order, then SLIN. Click Approve.</t>
  </si>
  <si>
    <t>S04, S05, S06, S08</t>
  </si>
  <si>
    <t>Task Order list filters to the chosen Contract; SLIN list filters to the chosen Task Order. Queue drops the row. Tracking # = the SLIN code you picked, a hyphen, and 5 digits (e.g. 6200AE-00001). Record it. It must appear in both approval emails.</t>
  </si>
  <si>
    <t>S1-E3, S1-E4</t>
  </si>
  <si>
    <t>Prime</t>
  </si>
  <si>
    <t>Switch Role &gt; Prime. Travel &gt; Travel Authorizations. Check the queue row, then click Review.</t>
  </si>
  <si>
    <t>G01, P01, P07</t>
  </si>
  <si>
    <t>Queue Tracking # matches the email; Grand Total = D2. Review form shows marked-up amounts only (no Room Cost, Fees, Taxes, GSA warning). Checkpoints E1-E4 must match the queue to the cent.</t>
  </si>
  <si>
    <t>Click Authorize Travel.</t>
  </si>
  <si>
    <t>P02</t>
  </si>
  <si>
    <t>Queue drops the row. The email names the trip and shows the tracking number.</t>
  </si>
  <si>
    <t>S1-E5</t>
  </si>
  <si>
    <t>Switch Role &gt; Employee. Travel &gt; My Estimates. Open the estimate (View).</t>
  </si>
  <si>
    <t>G01, L01</t>
  </si>
  <si>
    <t>Status approved. Read-only detail shows the same Tracking Number. Checkpoint D1.</t>
  </si>
  <si>
    <t>Travel &gt; My Expenses &gt; New Travel Expense Report. Pick the estimate from "Authorized Estimate".</t>
  </si>
  <si>
    <t>X01</t>
  </si>
  <si>
    <t>Dropdown label ends with [Tracking #]. Dates, travelers and M&amp;IE prefill. Only categories with an estimate &gt; $0 appear (Lodging, Gas, Parking, Tolls, Mileage). EWW shows as a read-only total ($0.00 here). Checkpoint X-A.</t>
  </si>
  <si>
    <t>Change Actual Leave Date to 11/10, watch Nights and Per Diem, then set it back to 11/09. Also retype the Actual Return Date (11/12).</t>
  </si>
  <si>
    <t>X02, X03</t>
  </si>
  <si>
    <t>Nights drops to 2 and Per Diem Meals Total recalculates live, then both return to the original values.</t>
  </si>
  <si>
    <t>Enter the Actual cost for each visible category. Upload one receipt (image or PDF) in every category that has an amount.</t>
  </si>
  <si>
    <t>X08, X09, E33</t>
  </si>
  <si>
    <t>No variance box appears for any category (all within 10%). Checkpoint X-B (live totals) and X-C (category table).</t>
  </si>
  <si>
    <t>Save as Draft, then reopen it (Edit Draft).</t>
  </si>
  <si>
    <t>X15, X18</t>
  </si>
  <si>
    <t>Actuals, receipts and totals persist. No email for a draft.</t>
  </si>
  <si>
    <t>Submit Expense Report.</t>
  </si>
  <si>
    <t>X16</t>
  </si>
  <si>
    <t>Report shows in My Expense Reports as submitted. Checkpoint X-D. The estimate now reads expensed. Both emails show the trip, tracking number, actual vs estimated by category, and totals.</t>
  </si>
  <si>
    <t>S1-E6, S1-E7</t>
  </si>
  <si>
    <t>Switch Role &gt; Supervisor. Approvals &gt; Expense Reports Needing Approval &gt; Review.</t>
  </si>
  <si>
    <t>G01, V01, V07</t>
  </si>
  <si>
    <t>Header counts: Categories &gt;10% Over = 0, Added Categories = 0. Form is read-only; receipts open.</t>
  </si>
  <si>
    <t>Click Approve (finalizes reimbursement).</t>
  </si>
  <si>
    <t>V02</t>
  </si>
  <si>
    <t>Row leaves the queue.</t>
  </si>
  <si>
    <t>S1-E8</t>
  </si>
  <si>
    <t>Switch Role &gt; Employee. Check My Estimates and My Expenses.</t>
  </si>
  <si>
    <t>G01, L03, L02</t>
  </si>
  <si>
    <t>Expense status approved. Estimate sits in the Paid / Cancelled card as paid and has NO red cancel (x).</t>
  </si>
  <si>
    <t>New Travel Estimate. Type Event Name, City, State, pick Contract. Set Leave and Return Dates.</t>
  </si>
  <si>
    <t>E01, E02, E03, E04, E05, E06</t>
  </si>
  <si>
    <t>Checkpoints A1, A2.</t>
  </si>
  <si>
    <t>Set Travelers to 2. Pick any roster employee for Traveler 2.</t>
  </si>
  <si>
    <t>E07, E08</t>
  </si>
  <si>
    <t>Traveler 1 is locked ("You"). The Traveler 2 list does not offer the person already chosen.</t>
  </si>
  <si>
    <t>Overwrite GSA Lodging Rate and M&amp;IE Rate. Enter Room Cost, Total Lodging, Fees, Taxes, Airfare, Airport Parking, Rental Car, Gas, Parking, Shipping (to), Shipping (back). Leave Baggage and Tolls at $0.00.</t>
  </si>
  <si>
    <t>E11, E12, E13, E14, E15, E16, E19, E21, E22, E23, E24, E25, E26, E33</t>
  </si>
  <si>
    <t>Checkpoints A3-A5. Lodging, airfare and airport parking are PER TRAVELER (the app multiplies by 2); rental car, gas, parking and shipping are TRIP-LEVEL (not multiplied). There are no EWW fields on this form.</t>
  </si>
  <si>
    <t>Submit Estimate.</t>
  </si>
  <si>
    <t>Checkpoint B1. Open each email: the EWW table lists both travelers at $0.00.</t>
  </si>
  <si>
    <t>S2-E1, S2-E2</t>
  </si>
  <si>
    <t>Switch Role &gt; Supervisor. Approvals &gt; Review the estimate.</t>
  </si>
  <si>
    <t>G01, S01, S12</t>
  </si>
  <si>
    <t>Read-only copy of the form. Note the line-item values are per traveler.</t>
  </si>
  <si>
    <t>Enter EWW (payroll-verified): Traveler 1 rate 62.50, hours 12. Traveler 2 stays $0.00 / 0.</t>
  </si>
  <si>
    <t>EWW Cost for Traveler 1 updates live; EWW Total, Grand Total and both Prime figures update. Checkpoints C1-C7 and the billable line rows.</t>
  </si>
  <si>
    <t>Assign Contract / Task Order / SLIN and click Approve.</t>
  </si>
  <si>
    <t>Emails now include the EWW table (Traveler 1 = $750.00) and the tracking number. Tracking # = the SLIN code you picked, a hyphen, and 5 digits (e.g. 6200AE-00001). Record it.</t>
  </si>
  <si>
    <t>S2-E3, S2-E4</t>
  </si>
  <si>
    <t>Prime queue: check Tracking # and Grand Total, open Review, then Authorize Travel.</t>
  </si>
  <si>
    <t>G01, P01, P02, P07</t>
  </si>
  <si>
    <t>Checkpoints D2 and E1-E4. The Prime form total must equal the queue total to the cent (every marked-up line is rounded first).</t>
  </si>
  <si>
    <t>S2-E5</t>
  </si>
  <si>
    <t>Travel &gt; My Expenses &gt; New Travel Expense Report. Pick the estimate, change nothing, then click Cancel on the form.</t>
  </si>
  <si>
    <t>X01, X17</t>
  </si>
  <si>
    <t>Returns to the list; nothing saved. Then start the report again.</t>
  </si>
  <si>
    <t>Select the estimate again and read the EWW box. Do not look for EWW rate or hours fields.</t>
  </si>
  <si>
    <t>X19</t>
  </si>
  <si>
    <t>There are no EWW fields to type. A read-only EWW Total shows $750.00, the exact total payroll verified on the estimate (checkpoint X-A1).</t>
  </si>
  <si>
    <t>Enter the Actual costs for the eight visible categories.</t>
  </si>
  <si>
    <t>X05, X08, E33</t>
  </si>
  <si>
    <t>Variance boxes appear for Airfare and Gas ONLY (checkpoint X-C). Totals show EWW $750.00 and Variance +$338.40 once all actuals are in.</t>
  </si>
  <si>
    <t>Click Submit Expense Report with the variance notes still blank.</t>
  </si>
  <si>
    <t>Blocked with "Explain the variance for ... " naming the first category. Type the notes from the table and continue.</t>
  </si>
  <si>
    <t>Additional Expenses: add Baggage and Tolls from "+ Add an expense category". Enter the actuals. Add Rideshare, then remove it with the x.</t>
  </si>
  <si>
    <t>X12, X14</t>
  </si>
  <si>
    <t>Estimated shows "-" for added rows. Submit is blocked until each added row has a note ("Explain why ... wasn't on the original estimate").</t>
  </si>
  <si>
    <t>Fill in the notes for Baggage and Tolls. Upload a receipt on Airfare, remove it with the x, upload it again. Upload a receipt on every other category with an amount.</t>
  </si>
  <si>
    <t>X13, X09, X10, X11</t>
  </si>
  <si>
    <t>Thumbnails show; removed receipt disappears.</t>
  </si>
  <si>
    <t>Save as Draft, reopen with Edit Draft, then Submit Expense Report.</t>
  </si>
  <si>
    <t>X15, X18, X16</t>
  </si>
  <si>
    <t>Notes, additional rows and receipts persist. Checkpoints X-B, X-C, X-D. Both emails list the explanations.</t>
  </si>
  <si>
    <t>S2-E6, S2-E7</t>
  </si>
  <si>
    <t>Approvals &gt; Expense Reports Needing Approval &gt; Review.</t>
  </si>
  <si>
    <t>Header: Categories &gt;10% Over = 2, Added Categories = 2. Variance explanations are visible.</t>
  </si>
  <si>
    <t>Approve.</t>
  </si>
  <si>
    <t>Estimate becomes paid.</t>
  </si>
  <si>
    <t>S2-E8</t>
  </si>
  <si>
    <t>S3a</t>
  </si>
  <si>
    <t>New estimate S3a. Fill header, dates, rates. Click Refresh GSA Rates, wait for it to finish, then re-enter the scripted GSA Lodging Rate and M&amp;IE Rate.</t>
  </si>
  <si>
    <t>E01, E02, E03, E04, E05, E06, E10, E11, E12</t>
  </si>
  <si>
    <t>Refresh overwrites the rate fields (or shows a lookup message). Rates must be re-typed afterward.</t>
  </si>
  <si>
    <t>Enter Room Cost, Fees, Taxes, Total Lodging, Airfare, Baggage, Airport Parking, Rideshare.</t>
  </si>
  <si>
    <t>E13, E14, E15, E16, E19, E20, E21, E28, E33</t>
  </si>
  <si>
    <t>NO red warning box: room average/night is under the rate even though total/night is over it (checkpoints F1-F3).</t>
  </si>
  <si>
    <t>Submit Estimate (no quotes).</t>
  </si>
  <si>
    <t>E31</t>
  </si>
  <si>
    <t>Submits cleanly.</t>
  </si>
  <si>
    <t>S3-E1, S3-E2</t>
  </si>
  <si>
    <t>Review: no lodging warning shown. Assign billing and Approve.</t>
  </si>
  <si>
    <t>G01, S01, S04, S05, S06, S08</t>
  </si>
  <si>
    <t>Checkpoints C1-C6 (no EWW). Tracking # = the SLIN code you picked, a hyphen, and 5 digits (e.g. 6200AE-00001). Record it.</t>
  </si>
  <si>
    <t>S3-E3, S3-E4</t>
  </si>
  <si>
    <t>S3b</t>
  </si>
  <si>
    <t>New estimate S3b. Header, dates, rates. Enter Room Cost 468.00, Fees, Taxes, Total Lodging, Airfare, Baggage, Airport Parking, Rideshare.</t>
  </si>
  <si>
    <t>E01, E02, E03, E04, E13, E14, E15, E16, E34</t>
  </si>
  <si>
    <t>Red box appears: "Lodging cost exceeds GSA rate", with the average room cost (checkpoint F1) and "3 comparison quotes are required to submit."</t>
  </si>
  <si>
    <t>Click Submit Estimate with no quotes.</t>
  </si>
  <si>
    <t>Blocked: "Lodging cost exceeds the GSA rate - upload 3 comparison quotes with rates entered before submitting."</t>
  </si>
  <si>
    <t>Click Upload Comparison Quotes. Upload one file.</t>
  </si>
  <si>
    <t>E17</t>
  </si>
  <si>
    <t>A "Saving a draft..." message flashes first (the app saves a draft silently so quotes can attach). The modal lists the file; the button behind it reads "(1 of 3)". The draft shows in the Pending card the next time the list reloads (after Submit or a refresh).</t>
  </si>
  <si>
    <t>Upload the second and third files (you can select several at once). Then try for a fourth.</t>
  </si>
  <si>
    <t>At 3 the upload control is replaced by a "3 quotes attached" message. Selecting extra files at once uploads only up to the limit and says so.</t>
  </si>
  <si>
    <t>Type a nightly rate for each quote: 138.00, 149.00, 152.00. Close the modal.</t>
  </si>
  <si>
    <t>E18</t>
  </si>
  <si>
    <t>Modal shows "Average of entered rates: $146.33". Submit is still blocked until all three have rates; after that it is allowed.</t>
  </si>
  <si>
    <t>Submits.</t>
  </si>
  <si>
    <t>S3-E5, S3-E6</t>
  </si>
  <si>
    <t>Review. Open the lodging warning area.</t>
  </si>
  <si>
    <t>Warning shows "3 of 3 required comparison quotes attached" with each quote linked and "Average of quoted rates: $146.33/night". Quote links open.</t>
  </si>
  <si>
    <t>Enter EWW: Traveler 1 rate 52.00, hours 5. Assign billing and Approve.</t>
  </si>
  <si>
    <t>S02, S03, S04, S05, S06, S08</t>
  </si>
  <si>
    <t>Checkpoints C1-C7. A second tracking number is issued: it must be the next number up from S3a's.</t>
  </si>
  <si>
    <t>S3-E7, S3-E8</t>
  </si>
  <si>
    <t>Open Review, then Authorize Travel.</t>
  </si>
  <si>
    <t>Review hides Room Cost, Fees, Taxes and the GSA warning/quotes. Checkpoints E1-E4.</t>
  </si>
  <si>
    <t>S3-E9</t>
  </si>
  <si>
    <t>New estimate. Header, Contract, dates. Set Travelers to 4 and pick a different roster employee for each of Travelers 2, 3 and 4.</t>
  </si>
  <si>
    <t>E01, E02, E03, E04, E05, E06, E07, E08</t>
  </si>
  <si>
    <t>Each picker excludes people already chosen.</t>
  </si>
  <si>
    <t>Click the x next to Traveler 4. Then set Travelers back to 4 and pick the employee again.</t>
  </si>
  <si>
    <t>E09</t>
  </si>
  <si>
    <t>Remove drops to 3 travelers and the Travelers dropdown follows; adding returns a blank slot.</t>
  </si>
  <si>
    <t>Overwrite GSA and M&amp;IE rates, then enter all lodging, flight, shipping and rideshare amounts.</t>
  </si>
  <si>
    <t>E11, E12, E13, E14, E15, E16, E19, E20, E21, E22, E23, E28, E33</t>
  </si>
  <si>
    <t>Checkpoints A1-A5. Totals are large because per-traveler lines are multiplied by 4.</t>
  </si>
  <si>
    <t>Checkpoint B1.</t>
  </si>
  <si>
    <t>S4-E1, S4-E2</t>
  </si>
  <si>
    <t>Review. Enter EWW (payroll-verified): Traveler 1 rate 55.00 hours 8; Traveler 3 rate 48.75 hours 16; Travelers 2 and 4 stay at zero.</t>
  </si>
  <si>
    <t>G01, S01, S02, S03</t>
  </si>
  <si>
    <t>Each EWW Cost updates (T1 $440.00, T3 $780.00). Checkpoints C1-C7 and billable lines.</t>
  </si>
  <si>
    <t>Assign billing and Approve.</t>
  </si>
  <si>
    <t>Emails list all 4 travelers in the EWW table. Tracking # = the SLIN code you picked, a hyphen, and 5 digits (e.g. 6200AE-00001). Record it.</t>
  </si>
  <si>
    <t>S4-E3, S4-E4</t>
  </si>
  <si>
    <t>Queue, Review, Authorize.</t>
  </si>
  <si>
    <t>Checkpoints D2, E1-E4. With 4 travelers the Prime form total must still equal the queue total to the cent.</t>
  </si>
  <si>
    <t>S4-E5</t>
  </si>
  <si>
    <t>New Expense Report. Pick the estimate. Read the EWW box, then change Actual Return Date to 12/10.</t>
  </si>
  <si>
    <t>X01, X03, X04, X19</t>
  </si>
  <si>
    <t>EWW shows a read-only $1,220.00 (the exact total, not an average). Nights drops to 9 and Per Diem recalculates (checkpoints X-A, X-B). Number of Travelers prefilled as 4.</t>
  </si>
  <si>
    <t>Enter the Actual costs.</t>
  </si>
  <si>
    <t>Variance boxes: Rideshare and Shipping (back) ONLY.</t>
  </si>
  <si>
    <t>Type the variance notes, upload a receipt on every category with an amount, Save as Draft, reopen, Submit Expense Report.</t>
  </si>
  <si>
    <t>X09, X11, X15, X18, X16</t>
  </si>
  <si>
    <t>Checkpoints X-B, X-C, X-D.</t>
  </si>
  <si>
    <t>S4-E6, S4-E7</t>
  </si>
  <si>
    <t>Expense review: header counts, then Approve.</t>
  </si>
  <si>
    <t>G01, V01, V02, V07</t>
  </si>
  <si>
    <t>Categories &gt;10% Over = 2, Added = 0.</t>
  </si>
  <si>
    <t>S4-E8</t>
  </si>
  <si>
    <t>S5a</t>
  </si>
  <si>
    <t>New estimate S5a. Header, Contract, dates (12/14 to 12/15). Overwrite rates. Enter lodging, airfare and rideshare.</t>
  </si>
  <si>
    <t>E01, E02, E03, E04, E05, E06, E11, E12, E13, E14, E15, E16, E19, E28</t>
  </si>
  <si>
    <t>Nights = 1, Full Days = 0, Per Diem = 1.5 x M&amp;IE (checkpoints A1-A5).</t>
  </si>
  <si>
    <t>After the rates are overwritten, change the Leave Date to another day and back to 12/14.</t>
  </si>
  <si>
    <t>E05</t>
  </si>
  <si>
    <t>Changing the date re-runs the GSA lookup and may overwrite your rates. Re-enter the scripted values before submitting. Record whether it did.</t>
  </si>
  <si>
    <t>S5-E1, S5-E2</t>
  </si>
  <si>
    <t>Review. Enter EWW Traveler 1 rate 40.00 hours 6. Assign billing, Approve.</t>
  </si>
  <si>
    <t>G01, S01, S02, S03, S04, S05, S06, S08</t>
  </si>
  <si>
    <t>Checkpoints C1-C7.</t>
  </si>
  <si>
    <t>S5-E3, S5-E4</t>
  </si>
  <si>
    <t>Review and Authorize.</t>
  </si>
  <si>
    <t>Checkpoints D2, E1-E4.</t>
  </si>
  <si>
    <t>S5-E5</t>
  </si>
  <si>
    <t>S5b</t>
  </si>
  <si>
    <t>New estimate S5b with the SAME Leave and Return Date (12/17). Enter rates, rideshare only.</t>
  </si>
  <si>
    <t>E01, E02, E03, E04, E05, E06, E11, E12, E28</t>
  </si>
  <si>
    <t>Nights = 0, Full Days = 0. Record the Per Diem the app shows. WATCH W1: the formula gives 1.5 x M&amp;IE for a single day. Mark as OBSERVE, not pass/fail.</t>
  </si>
  <si>
    <t>Submits (same-day is allowed).</t>
  </si>
  <si>
    <t>S5-E6, S5-E7</t>
  </si>
  <si>
    <t>Review, assign billing, Approve.</t>
  </si>
  <si>
    <t>Checkpoints C1-C6.</t>
  </si>
  <si>
    <t>S5-E8, S5-E9</t>
  </si>
  <si>
    <t>S6 v1</t>
  </si>
  <si>
    <t>VALIDATION 1: Open a blank New Travel Estimate and click Submit Estimate.</t>
  </si>
  <si>
    <t>Error: "City, State, Contract, and both dates are required to submit." Nothing saved, no email.</t>
  </si>
  <si>
    <t>VALIDATION 2: Fill City, State, both dates but leave Contract blank. Submit.</t>
  </si>
  <si>
    <t>E04</t>
  </si>
  <si>
    <t>Same error.</t>
  </si>
  <si>
    <t>VALIDATION 3: Set Return Date earlier than Leave Date. Pick a Contract. Submit.</t>
  </si>
  <si>
    <t>E05, E06</t>
  </si>
  <si>
    <t>Error: "Return date must be on or after leave date."</t>
  </si>
  <si>
    <t>VALIDATION 4: Fix the dates. Set Travelers to 2 and leave Traveler 2 empty. Submit.</t>
  </si>
  <si>
    <t>Error: "Select an employee for Traveler 2 ..." .</t>
  </si>
  <si>
    <t>VALIDATION 5: Pick Traveler 2. Enter a GSA Lodging Rate of 100 and a Room Cost high enough to exceed it. Submit with no quotes.</t>
  </si>
  <si>
    <t>E13, E34</t>
  </si>
  <si>
    <t>Error asks for 3 comparison quotes. Then set the Room Cost back below the limit; the warning disappears.</t>
  </si>
  <si>
    <t>VALIDATION 6: In any currency field type abc, then -5, then 1234.5, then 12.345, tabbing out each time.</t>
  </si>
  <si>
    <t>E33</t>
  </si>
  <si>
    <t>Record what each becomes (W2). Per the code: abc becomes $0.00, -5 becomes $-5.00, 1234.5 becomes $1234.50 (no thousands comma), 12.345 becomes $12.35.</t>
  </si>
  <si>
    <t>VALIDATION 7: With the form edited and unsaved, try to reload the page or close the tab.</t>
  </si>
  <si>
    <t>E35</t>
  </si>
  <si>
    <t>Browser asks to confirm leaving the page. Switch Role and Sign Out should warn too.</t>
  </si>
  <si>
    <t>VALIDATION 8: Click Cancel at the bottom of the form.</t>
  </si>
  <si>
    <t>E32</t>
  </si>
  <si>
    <t>Returns to the estimate list; nothing is saved.</t>
  </si>
  <si>
    <t>Now build the real estimate (version 1 inputs, Travelers 2, airfare 640.00). Submit.</t>
  </si>
  <si>
    <t>E01, E02, E03, E04, E05, E06, E07, E08, E11, E12, E13, E14, E15, E16, E19, E20, E21, E28, E31</t>
  </si>
  <si>
    <t>Checkpoints A1-A5 (v1), B1.</t>
  </si>
  <si>
    <t>S6-E1, S6-E2</t>
  </si>
  <si>
    <t>Review. Enter EWW (payroll-verified) Traveler 1 rate 45.00 hours 10. Click Return with the note box empty.</t>
  </si>
  <si>
    <t>G01, S01, S02, S03, S09</t>
  </si>
  <si>
    <t>Blocked: "A note is required to return or deny this estimate." The note box appears.</t>
  </si>
  <si>
    <t>Type the note "Airfare is higher than comparable fares - please recheck fare class". Click Return.</t>
  </si>
  <si>
    <t>S07, S09</t>
  </si>
  <si>
    <t>Checkpoints C1-C7 (v1) were visible before returning. The email names the trip and shows the note. No tracking number exists yet, so none appears.</t>
  </si>
  <si>
    <t>S6-E3</t>
  </si>
  <si>
    <t>S6 v2</t>
  </si>
  <si>
    <t>Switch Role &gt; Employee. Find the estimate: the button now reads Edit &amp; Resubmit. Open it.</t>
  </si>
  <si>
    <t>G01, L01, L04</t>
  </si>
  <si>
    <t>Red banner "This request was returned" shows the Supervisor's note.</t>
  </si>
  <si>
    <t>Change Airfare to 512.00. Resubmit.</t>
  </si>
  <si>
    <t>E19, E31</t>
  </si>
  <si>
    <t>Checkpoint B1 (v2) includes the retained EWW. Emails show the EWW table with Traveler 1 = $450.00.</t>
  </si>
  <si>
    <t>S6-E4, S6-E5</t>
  </si>
  <si>
    <t>Review again. EWW should still read 45.00 x 10 for Traveler 1. Assign billing and Approve.</t>
  </si>
  <si>
    <t>Checkpoints C1-C7 (v2). Tracking Number is assigned only now (this is the FIRST approval). Tracking # = the SLIN code you picked, a hyphen, and 5 digits (e.g. 6200AE-00001). Record it.</t>
  </si>
  <si>
    <t>S6-E6, S6-E7</t>
  </si>
  <si>
    <t>Checkpoints D2, E1-E4 (v2).</t>
  </si>
  <si>
    <t>S6-E8</t>
  </si>
  <si>
    <t>S7a</t>
  </si>
  <si>
    <t>Create and submit estimate S7a.</t>
  </si>
  <si>
    <t>E01, E02, E03, E04, E05, E06, E11, E12, E13, E14, E15, E16, E19, E31</t>
  </si>
  <si>
    <t>S7-E1, S7-E2</t>
  </si>
  <si>
    <t>Review and click Deny with no note, then with the note "Not funded this quarter".</t>
  </si>
  <si>
    <t>G01, S01, S10, S07</t>
  </si>
  <si>
    <t>First click blocked (note required). Second succeeds. No tracking number is ever issued to a request denied at first review. The email names the trip and shows the note.</t>
  </si>
  <si>
    <t>S7-E3</t>
  </si>
  <si>
    <t>Look at the S7a row, then open it.</t>
  </si>
  <si>
    <t>G01, L01, L04, L02</t>
  </si>
  <si>
    <t>Status denied. The row button reads View and there is NO red cancel (x). The detail is read-only, with a red banner "This request was denied" and the note. There is no way to edit or resubmit.</t>
  </si>
  <si>
    <t>S7b</t>
  </si>
  <si>
    <t>Create and submit estimate S7b.</t>
  </si>
  <si>
    <t>S7-E4, S7-E5</t>
  </si>
  <si>
    <t>Record Tracking Number #1. Tracking # = the SLIN code you picked, a hyphen, and 5 digits (e.g. 6200AE-00001). Record it.</t>
  </si>
  <si>
    <t>S7-E6, S7-E7</t>
  </si>
  <si>
    <t>Review. Click Return with no note, then with the note "Please add the customer PO to the event name".</t>
  </si>
  <si>
    <t>G01, P01, P03, P05</t>
  </si>
  <si>
    <t>First click blocked. Second returns it. The email subject and body carry the trip AND tracking number #1.</t>
  </si>
  <si>
    <t>S7-E8</t>
  </si>
  <si>
    <t>Open S7b (Edit &amp; Resubmit). Banner shows the Prime's note. Resubmit unchanged.</t>
  </si>
  <si>
    <t>G01, L01, L04, E31</t>
  </si>
  <si>
    <t>Resubmit emails now carry tracking number #1 in the subject and heading (it was issued at the first approval and stays with the request).</t>
  </si>
  <si>
    <t>S7-E9, S7-E10</t>
  </si>
  <si>
    <t>Open the Review again, check the Tracking Number field, then Approve again.</t>
  </si>
  <si>
    <t>The review header already shows tracking number #1 (not "Assigned on approval"). After approving, the number must be UNCHANGED: only the first approval issues one. Both emails show #1.</t>
  </si>
  <si>
    <t>S7-E11, S7-E12</t>
  </si>
  <si>
    <t>Review and click Deny with the note "Budget exhausted".</t>
  </si>
  <si>
    <t>G01, P01, P04, P05, P06</t>
  </si>
  <si>
    <t>Status denied. The email carries the trip, tracking number #1 and the note.</t>
  </si>
  <si>
    <t>S7-E13</t>
  </si>
  <si>
    <t>Look at the S7b row, then open it.</t>
  </si>
  <si>
    <t>G01, L01, L02</t>
  </si>
  <si>
    <t>Status denied: button reads View, no red cancel (x), read-only detail with the denial note and the same tracking number.</t>
  </si>
  <si>
    <t>S7c-1</t>
  </si>
  <si>
    <t>Create estimate S7c-1 and click Save as Draft only. Then click the red x on its row and accept the confirmation.</t>
  </si>
  <si>
    <t>E30, L02</t>
  </si>
  <si>
    <t>Confirmation prompt appears; Dismiss leaves it alone, OK cancels it. Cancelled row leaves the Pending card and appears under Paid / Cancelled with status cancelled. A cancellation email arrives (no tracking number: none issued).</t>
  </si>
  <si>
    <t>S7-E14</t>
  </si>
  <si>
    <t>S7c-2</t>
  </si>
  <si>
    <t>Create and submit estimate S7c-2. Then cancel it with the red x.</t>
  </si>
  <si>
    <t>E31, L02, L03</t>
  </si>
  <si>
    <t>Row moves to Paid / Cancelled; opening it is read-only.</t>
  </si>
  <si>
    <t>S7-E15, S7-E16, S7-E17</t>
  </si>
  <si>
    <t>Approvals queue and Prime queue.</t>
  </si>
  <si>
    <t>G01</t>
  </si>
  <si>
    <t>None of the cancelled or denied estimates appear in any queue.</t>
  </si>
  <si>
    <t>S8a</t>
  </si>
  <si>
    <t>Create and submit estimate S8a.</t>
  </si>
  <si>
    <t>S8-E1, S8-E2</t>
  </si>
  <si>
    <t>Checkpoints C1-C6. Tracking # = the SLIN code you picked, a hyphen, and 5 digits (e.g. 6200AE-00001). Record it.</t>
  </si>
  <si>
    <t>S8-E3, S8-E4</t>
  </si>
  <si>
    <t>Authorize Travel.</t>
  </si>
  <si>
    <t>G01, P01, P02</t>
  </si>
  <si>
    <t>Done.</t>
  </si>
  <si>
    <t>S8-E5</t>
  </si>
  <si>
    <t>S8b</t>
  </si>
  <si>
    <t>Create and submit estimate S8b.</t>
  </si>
  <si>
    <t>S8-E6, S8-E7</t>
  </si>
  <si>
    <t>Checkpoints C1-C6. Tracking number is the next one up from S8a's.</t>
  </si>
  <si>
    <t>S8-E8, S8-E9</t>
  </si>
  <si>
    <t>S8-E10</t>
  </si>
  <si>
    <t>New Expense Report for S8a. Enter the actuals (lodging 261.96, airfare 280.00). Upload a receipt on each. Submit.</t>
  </si>
  <si>
    <t>X01, X08, X09, X16</t>
  </si>
  <si>
    <t>Checkpoints X-B, X-D (variance should be $0.00). Both emails carry the trip and S8a's tracking number.</t>
  </si>
  <si>
    <t>S8-E11, S8-E12</t>
  </si>
  <si>
    <t>Expense review. Click Return with no note, then with "Lodging receipt is unreadable - please re-upload".</t>
  </si>
  <si>
    <t>G01, V01, V03, V05</t>
  </si>
  <si>
    <t>First click blocked. Second succeeds. The email carries the trip, tracking number and the note.</t>
  </si>
  <si>
    <t>S8-E13</t>
  </si>
  <si>
    <t>My Expenses: the S8a row now reads Edit &amp; Resubmit. Open it. Remove the lodging receipt (x) and upload it again, then click Submit Expense Report.</t>
  </si>
  <si>
    <t>X18, X20, X21, X10, X09, X16</t>
  </si>
  <si>
    <t>Red banner "This report was returned" shows the note. The title reads "Edit &amp; Resubmit Expense Report". Values are unchanged. Resubmit works.</t>
  </si>
  <si>
    <t>S8-E14, S8-E15</t>
  </si>
  <si>
    <t>Review the resubmitted report and Approve.</t>
  </si>
  <si>
    <t>G01, V01, V02</t>
  </si>
  <si>
    <t>S8-E16</t>
  </si>
  <si>
    <t>New Expense Report for S8b (lodging 261.96, airfare 330.00). Submit.</t>
  </si>
  <si>
    <t>X01, X08, X16</t>
  </si>
  <si>
    <t>Checkpoints X-B, X-D (variance +$25.00). Airfare is 8.2% over: no variance box.</t>
  </si>
  <si>
    <t>S8-E17, S8-E18</t>
  </si>
  <si>
    <t>Expense review. Click Deny with the note "Duplicate of another claim".</t>
  </si>
  <si>
    <t>G01, V01, V04, V05, V06</t>
  </si>
  <si>
    <t>Status denied. The email carries the trip, tracking number and note.</t>
  </si>
  <si>
    <t>S8-E19</t>
  </si>
  <si>
    <t>Open My Expenses and view the denied report.</t>
  </si>
  <si>
    <t>X18</t>
  </si>
  <si>
    <t>Status denied. Button reads View. Read-only detail with a red banner "This report was denied" and the note. There is no edit or resubmit. The estimate stays expensed.</t>
  </si>
  <si>
    <t>S1 — Solo drive trip, under GSA, no EWW</t>
  </si>
  <si>
    <t>Travel type: Drive (personal vehicle)   |   Expected emails: 8   |   Fee multiplier from Setup tab</t>
  </si>
  <si>
    <t>1. INPUTS — type these exactly (blue)</t>
  </si>
  <si>
    <t>Ref</t>
  </si>
  <si>
    <t>Field / what to read</t>
  </si>
  <si>
    <t>Screen label / how it is calculated</t>
  </si>
  <si>
    <t>Event Name</t>
  </si>
  <si>
    <t>Add your initials at the end</t>
  </si>
  <si>
    <t>S1 Regional Workshop - xx</t>
  </si>
  <si>
    <t>City</t>
  </si>
  <si>
    <t>Columbia</t>
  </si>
  <si>
    <t>State</t>
  </si>
  <si>
    <t>Pick from the list</t>
  </si>
  <si>
    <t>SC</t>
  </si>
  <si>
    <t>Contract</t>
  </si>
  <si>
    <t>Pick any contract; note which one</t>
  </si>
  <si>
    <t>(any)</t>
  </si>
  <si>
    <t>Leave Date</t>
  </si>
  <si>
    <t>Return Date</t>
  </si>
  <si>
    <t>Travelers</t>
  </si>
  <si>
    <t>Traveler 2-4: pick any roster employee</t>
  </si>
  <si>
    <t>GSA Lodging Rate (per night)</t>
  </si>
  <si>
    <t>Overwrite AFTER the lookup finishes</t>
  </si>
  <si>
    <t>Meals (M&amp;IE) Rate (per day)</t>
  </si>
  <si>
    <t>Room Cost (subject to per diem limit)</t>
  </si>
  <si>
    <t>Per traveler, whole stay</t>
  </si>
  <si>
    <t>Total Lodging Cost (incl. taxes &amp; fees)</t>
  </si>
  <si>
    <t>Lodging Fees</t>
  </si>
  <si>
    <t>Recorded only</t>
  </si>
  <si>
    <t>Lodging Taxes</t>
  </si>
  <si>
    <t>Airfare (avg)</t>
  </si>
  <si>
    <t>Per traveler</t>
  </si>
  <si>
    <t>Baggage</t>
  </si>
  <si>
    <t>Airport Parking</t>
  </si>
  <si>
    <t>Shipping (to)</t>
  </si>
  <si>
    <t>Trip-level</t>
  </si>
  <si>
    <t>Shipping (back)</t>
  </si>
  <si>
    <t>Rental Car</t>
  </si>
  <si>
    <t>Gas</t>
  </si>
  <si>
    <t>Parking</t>
  </si>
  <si>
    <t>Tolls</t>
  </si>
  <si>
    <t>Rideshare Estimate</t>
  </si>
  <si>
    <t>Mileage (Personal Vehicle)</t>
  </si>
  <si>
    <t>Entered by the SUPERVISOR at review (not on the submit form)</t>
  </si>
  <si>
    <t>Traveler 1 EWW Rate (per hour)</t>
  </si>
  <si>
    <t>Supervisor review &gt; EWW Rate</t>
  </si>
  <si>
    <t>Traveler 1 EWW Hours</t>
  </si>
  <si>
    <t>Traveler 2 EWW Rate (per hour)</t>
  </si>
  <si>
    <t>Traveler 2 EWW Hours</t>
  </si>
  <si>
    <t>Traveler 3 EWW Rate (per hour)</t>
  </si>
  <si>
    <t>Traveler 3 EWW Hours</t>
  </si>
  <si>
    <t>Traveler 4 EWW Rate (per hour)</t>
  </si>
  <si>
    <t>Traveler 4 EWW Hours</t>
  </si>
  <si>
    <t>EWW already saved when submitted? (1 = yes)</t>
  </si>
  <si>
    <t>Only a resubmission after a Supervisor return carries EWW</t>
  </si>
  <si>
    <t>2. EXPECTED MATH — live formulas (read these to follow the arithmetic)</t>
  </si>
  <si>
    <t>Return Date - Leave Date (never below 0)</t>
  </si>
  <si>
    <t>Full Days (1x)</t>
  </si>
  <si>
    <t>Nights - 1, minimum 0</t>
  </si>
  <si>
    <t>Per Diem Meals Total (per traveler)</t>
  </si>
  <si>
    <t>1.5 x M&amp;IE + Full Days x M&amp;IE</t>
  </si>
  <si>
    <t>Per-traveler costs (excl. meals)</t>
  </si>
  <si>
    <t>Total Lodging + Airfare + Airport Parking + Baggage</t>
  </si>
  <si>
    <t>Per Diem + per-traveler costs</t>
  </si>
  <si>
    <t>Trip-level costs</t>
  </si>
  <si>
    <t>Rental + Gas + Parking + Tolls + Rideshare + Mileage + Shipping to + Shipping back</t>
  </si>
  <si>
    <t>EWW Cost — Traveler 1</t>
  </si>
  <si>
    <t>Rate x Hours (only if that traveler exists)</t>
  </si>
  <si>
    <t>EWW Cost — Traveler 2</t>
  </si>
  <si>
    <t>EWW Cost — Traveler 3</t>
  </si>
  <si>
    <t>EWW Cost — Traveler 4</t>
  </si>
  <si>
    <t>Sum of the four EWW Costs</t>
  </si>
  <si>
    <t>Grand Total (ODC + EWW)</t>
  </si>
  <si>
    <t>Trip Lead Total + EWW Total</t>
  </si>
  <si>
    <t>Billable column, line by line (amount x multiplier, rounded to cents)</t>
  </si>
  <si>
    <t>Supervisor review "Billable to Prime" column, approved-email column, Prime form field</t>
  </si>
  <si>
    <t>Total Lodging Cost</t>
  </si>
  <si>
    <t>ROUND(Total Lodging Cost x multiplier, 2)</t>
  </si>
  <si>
    <t>ROUND(Airfare (avg) x multiplier, 2)</t>
  </si>
  <si>
    <t>ROUND(Baggage x multiplier, 2)</t>
  </si>
  <si>
    <t>ROUND(Airport Parking x multiplier, 2)</t>
  </si>
  <si>
    <t>ROUND(Rental Car x multiplier, 2)</t>
  </si>
  <si>
    <t>ROUND(Gas x multiplier, 2)</t>
  </si>
  <si>
    <t>ROUND(Parking x multiplier, 2)</t>
  </si>
  <si>
    <t>ROUND(Tolls x multiplier, 2)</t>
  </si>
  <si>
    <t>ROUND(Rideshare Estimate x multiplier, 2)</t>
  </si>
  <si>
    <t>ROUND(Mileage (Personal Vehicle) x multiplier, 2)</t>
  </si>
  <si>
    <t>ROUND(Shipping (to) x multiplier, 2)</t>
  </si>
  <si>
    <t>ROUND(Shipping (back) x multiplier, 2)</t>
  </si>
  <si>
    <t>Marked-up ODC</t>
  </si>
  <si>
    <t>(4 rounded per-traveler lines) x Travelers + (8 rounded trip-level lines)</t>
  </si>
  <si>
    <t>Per Diem Meals, all travelers (not marked up)</t>
  </si>
  <si>
    <t>Per Diem x Travelers</t>
  </si>
  <si>
    <t>Marked-up ODC + Per Diem all travelers</t>
  </si>
  <si>
    <t>Markup added (information)</t>
  </si>
  <si>
    <t>Grand Total to Prime - Grand Total</t>
  </si>
  <si>
    <t>Grand Total on lists right after submit</t>
  </si>
  <si>
    <t>Trip Lead Total + EWW if EWW was already saved</t>
  </si>
  <si>
    <t>Average ROOM cost per night</t>
  </si>
  <si>
    <t>Room Cost / Nights (0 if no nights)</t>
  </si>
  <si>
    <t>Over the GSA limit?</t>
  </si>
  <si>
    <t>YES when average room cost per night &gt; GSA Lodging Rate</t>
  </si>
  <si>
    <t>Total lodging per night (NOT used for the limit)</t>
  </si>
  <si>
    <t>Total Lodging / Nights — shown to prove fees/taxes are excluded</t>
  </si>
  <si>
    <t>Typing check: Room + Fees + Taxes - Total</t>
  </si>
  <si>
    <t>Should be $0.00; if not, one of the four inputs was mistyped</t>
  </si>
  <si>
    <t>Per Traveler Subtotal as the Prime sees it</t>
  </si>
  <si>
    <t>Per Diem (unmarked) + the 4 rounded per-traveler lines</t>
  </si>
  <si>
    <t>3. SCREEN CHECKPOINTS — compare each screen to Expected, type what you see in the yellow cell</t>
  </si>
  <si>
    <t xml:space="preserve">S1
Expected</t>
  </si>
  <si>
    <t>Actual (you)</t>
  </si>
  <si>
    <t>Result</t>
  </si>
  <si>
    <t>A1</t>
  </si>
  <si>
    <t>Employee form (live)</t>
  </si>
  <si>
    <t>A2</t>
  </si>
  <si>
    <t>A3</t>
  </si>
  <si>
    <t>Per Diem Meals Total</t>
  </si>
  <si>
    <t>A4</t>
  </si>
  <si>
    <t>A5</t>
  </si>
  <si>
    <t>B1</t>
  </si>
  <si>
    <t>Grand Total right after submit</t>
  </si>
  <si>
    <t>My Estimates list AND Supervisor queue (before Supervisor enters EWW)</t>
  </si>
  <si>
    <t>C1</t>
  </si>
  <si>
    <t>C2</t>
  </si>
  <si>
    <t>C3</t>
  </si>
  <si>
    <t>Supervisor review (after entering EWW)</t>
  </si>
  <si>
    <t>C4</t>
  </si>
  <si>
    <t>C5</t>
  </si>
  <si>
    <t>C6</t>
  </si>
  <si>
    <t>CL.lodging</t>
  </si>
  <si>
    <t>Billable column: Total Lodging Cost</t>
  </si>
  <si>
    <t>Supervisor review &gt; Billable to Prime Breakdown</t>
  </si>
  <si>
    <t>CL.gas</t>
  </si>
  <si>
    <t>Billable column: Gas</t>
  </si>
  <si>
    <t>CL.parking</t>
  </si>
  <si>
    <t>Billable column: Parking</t>
  </si>
  <si>
    <t>CL.tolls</t>
  </si>
  <si>
    <t>Billable column: Tolls</t>
  </si>
  <si>
    <t>CL.mileage</t>
  </si>
  <si>
    <t>Billable column: Mileage (Personal Vehicle)</t>
  </si>
  <si>
    <t>D1</t>
  </si>
  <si>
    <t>Grand Total after approval</t>
  </si>
  <si>
    <t>My Estimates list (now includes EWW)</t>
  </si>
  <si>
    <t>D2</t>
  </si>
  <si>
    <t>Grand Total (Prime queue)</t>
  </si>
  <si>
    <t>Prime &gt; Travel Authorizations queue</t>
  </si>
  <si>
    <t>E1</t>
  </si>
  <si>
    <t>E2</t>
  </si>
  <si>
    <t>E3</t>
  </si>
  <si>
    <t>E4</t>
  </si>
  <si>
    <t>Grand Total (must equal D2 exactly)</t>
  </si>
  <si>
    <t>F1</t>
  </si>
  <si>
    <t>Average room cost per night</t>
  </si>
  <si>
    <t>Employee form warning text / math only</t>
  </si>
  <si>
    <t>F2</t>
  </si>
  <si>
    <t>Red over-limit warning shown? (type YES or No)</t>
  </si>
  <si>
    <t>F3</t>
  </si>
  <si>
    <t>Information only</t>
  </si>
  <si>
    <t>info</t>
  </si>
  <si>
    <t>Tip: for rows that do not apply to your step yet, leave the yellow cell blank.</t>
  </si>
  <si>
    <t>4.1 EXPENSE REPORT — S1 expense (linked to estimate S1)</t>
  </si>
  <si>
    <t>Field</t>
  </si>
  <si>
    <t>Notes / formula</t>
  </si>
  <si>
    <t>Expected / typed</t>
  </si>
  <si>
    <t>Actual Leave Date</t>
  </si>
  <si>
    <t>Prefilled from the estimate; type this if different</t>
  </si>
  <si>
    <t>Actual Return Date</t>
  </si>
  <si>
    <t>Number of Travelers</t>
  </si>
  <si>
    <t>Prefilled from the estimate</t>
  </si>
  <si>
    <t>Category</t>
  </si>
  <si>
    <t>Where it appears on the form</t>
  </si>
  <si>
    <t>Estimated</t>
  </si>
  <si>
    <t>Actual (type)</t>
  </si>
  <si>
    <t>Over by $</t>
  </si>
  <si>
    <t>Over by %</t>
  </si>
  <si>
    <t>Over 10%?</t>
  </si>
  <si>
    <t>Added (no estimate)?</t>
  </si>
  <si>
    <t>Note box required?</t>
  </si>
  <si>
    <t>Note box shown? Y/N (you)</t>
  </si>
  <si>
    <t>Receipt attached? Y/N (you)</t>
  </si>
  <si>
    <t>X-C1</t>
  </si>
  <si>
    <t>Lodging (actual total)</t>
  </si>
  <si>
    <t>X-C2</t>
  </si>
  <si>
    <t>X-C3</t>
  </si>
  <si>
    <t>X-C4</t>
  </si>
  <si>
    <t>X-C5</t>
  </si>
  <si>
    <t>X-C6</t>
  </si>
  <si>
    <t>X-C7</t>
  </si>
  <si>
    <t>X-C8</t>
  </si>
  <si>
    <t>X-C9</t>
  </si>
  <si>
    <t>X-C10</t>
  </si>
  <si>
    <t>X-C11</t>
  </si>
  <si>
    <t>X-C12</t>
  </si>
  <si>
    <t>Calculation</t>
  </si>
  <si>
    <t>How it is calculated</t>
  </si>
  <si>
    <t>Expected</t>
  </si>
  <si>
    <t>X-A1</t>
  </si>
  <si>
    <t>EWW Total shown (read-only) on selecting the estimate</t>
  </si>
  <si>
    <t>Carried from the approved estimate, already payroll-verified. Nothing to type.</t>
  </si>
  <si>
    <t>X-A2</t>
  </si>
  <si>
    <t>Meals (M&amp;IE) Rate prefilled</t>
  </si>
  <si>
    <t>From the estimate</t>
  </si>
  <si>
    <t>X-A3</t>
  </si>
  <si>
    <t>Number of Travelers prefilled</t>
  </si>
  <si>
    <t>X-B1</t>
  </si>
  <si>
    <t>Actual Return - Actual Leave</t>
  </si>
  <si>
    <t>X-B2</t>
  </si>
  <si>
    <t>X-B3</t>
  </si>
  <si>
    <t>Per-traveler actual costs (information)</t>
  </si>
  <si>
    <t>Lodging + Airfare + Airport Parking + Baggage actuals</t>
  </si>
  <si>
    <t>X-B4</t>
  </si>
  <si>
    <t>Per Diem + per-traveler actual costs</t>
  </si>
  <si>
    <t>X-B5</t>
  </si>
  <si>
    <t>Trip-level actual costs (information)</t>
  </si>
  <si>
    <t>X-B6</t>
  </si>
  <si>
    <t>Per Traveler Subtotal x Travelers + trip-level actuals</t>
  </si>
  <si>
    <t>X-B7</t>
  </si>
  <si>
    <t>EWW Total (read-only)</t>
  </si>
  <si>
    <t>Carried from the estimate: the sum of each traveler's rate x hours</t>
  </si>
  <si>
    <t>X-B8</t>
  </si>
  <si>
    <t>Actual Grand Total</t>
  </si>
  <si>
    <t>X-B9</t>
  </si>
  <si>
    <t>Estimated Grand Total (information)</t>
  </si>
  <si>
    <t>Estimate Trip Lead Total + estimate EWW Total (internal, unmarked)</t>
  </si>
  <si>
    <t>X-B10</t>
  </si>
  <si>
    <t>Variance vs. Estimate</t>
  </si>
  <si>
    <t>Actual Grand Total - Estimated Grand Total</t>
  </si>
  <si>
    <t>X-D1</t>
  </si>
  <si>
    <t>Actual Grand Total in My Expense Reports</t>
  </si>
  <si>
    <t>Same as X-B8 after Submit</t>
  </si>
  <si>
    <t>X-D2</t>
  </si>
  <si>
    <t>Variance in My Expense Reports</t>
  </si>
  <si>
    <t>Same as X-B10 after Submit</t>
  </si>
  <si>
    <t>X-E1</t>
  </si>
  <si>
    <t>Supervisor header: Categories &gt;10% Over Estimate</t>
  </si>
  <si>
    <t>Count of Over 10% = Y above</t>
  </si>
  <si>
    <t>X-E2</t>
  </si>
  <si>
    <t>Supervisor header: Added Categories (not on estimate)</t>
  </si>
  <si>
    <t>Count of Added = Y above</t>
  </si>
  <si>
    <t>S2 — Fly + rental car, 2 travelers, 1 with EWW</t>
  </si>
  <si>
    <t>Travel type: Fly + rental car   |   Expected emails: 8   |   Fee multiplier from Setup tab</t>
  </si>
  <si>
    <t>S2 Customer Site Visit - xx</t>
  </si>
  <si>
    <t>Austin</t>
  </si>
  <si>
    <t>TX</t>
  </si>
  <si>
    <t xml:space="preserve">S2
Expected</t>
  </si>
  <si>
    <t>C7.1</t>
  </si>
  <si>
    <t>Supervisor review (live as you type)</t>
  </si>
  <si>
    <t>CL.airfare</t>
  </si>
  <si>
    <t>Billable column: Airfare (avg)</t>
  </si>
  <si>
    <t>CL.airportParking</t>
  </si>
  <si>
    <t>Billable column: Airport Parking</t>
  </si>
  <si>
    <t>CL.rentalCar</t>
  </si>
  <si>
    <t>Billable column: Rental Car</t>
  </si>
  <si>
    <t>CL.shipTo</t>
  </si>
  <si>
    <t>Billable column: Shipping (to)</t>
  </si>
  <si>
    <t>CL.shipBack</t>
  </si>
  <si>
    <t>Billable column: Shipping (back)</t>
  </si>
  <si>
    <t>4.1 EXPENSE REPORT — S2 expense (linked to estimate S2)</t>
  </si>
  <si>
    <t>Notes to type into the explanation boxes</t>
  </si>
  <si>
    <t>Fare increased after the original quote</t>
  </si>
  <si>
    <t>Longer drive to the customer site than planned</t>
  </si>
  <si>
    <t>Two checked bags added at the airport</t>
  </si>
  <si>
    <t>Toll road to the customer site was not on the estimate</t>
  </si>
  <si>
    <t>S3 — Lodging limit rules (fees/taxes excluded, over-limit quotes)</t>
  </si>
  <si>
    <t>Travel type: Fly, hotel conference   |   Expected emails: 9   |   Fee multiplier from Setup tab</t>
  </si>
  <si>
    <t>S3a Fees-Taxes Excluded - xx</t>
  </si>
  <si>
    <t>S3b Over Limit With Quotes - xx</t>
  </si>
  <si>
    <t>Nashville</t>
  </si>
  <si>
    <t>Memphis</t>
  </si>
  <si>
    <t>TN</t>
  </si>
  <si>
    <t>Comparison quote 1 nightly rate</t>
  </si>
  <si>
    <t>Upload Comparison Quotes modal</t>
  </si>
  <si>
    <t>Comparison quote 2 nightly rate</t>
  </si>
  <si>
    <t>Comparison quote 3 nightly rate</t>
  </si>
  <si>
    <t>Average of the three quote rates</t>
  </si>
  <si>
    <t>Shown in the quotes modal and on the Supervisor review</t>
  </si>
  <si>
    <t xml:space="preserve">S3a
Expected</t>
  </si>
  <si>
    <t xml:space="preserve">S3b
Expected</t>
  </si>
  <si>
    <t>CL.baggage</t>
  </si>
  <si>
    <t>Billable column: Baggage</t>
  </si>
  <si>
    <t>CL.rideshare</t>
  </si>
  <si>
    <t>Billable column: Rideshare Estimate</t>
  </si>
  <si>
    <t>F4</t>
  </si>
  <si>
    <t>Average of entered quote rates</t>
  </si>
  <si>
    <t>Quotes modal / Supervisor review</t>
  </si>
  <si>
    <t>S4 — Long stay, 4 travelers, 2 with EWW</t>
  </si>
  <si>
    <t>Travel type: Fly + rideshare + shipping   |   Expected emails: 8   |   Fee multiplier from Setup tab</t>
  </si>
  <si>
    <t>S4 Training Cohort Onsite - xx</t>
  </si>
  <si>
    <t>San Diego</t>
  </si>
  <si>
    <t>CA</t>
  </si>
  <si>
    <t xml:space="preserve">S4
Expected</t>
  </si>
  <si>
    <t>C7.3</t>
  </si>
  <si>
    <t>4.1 EXPENSE REPORT — S4 expense (linked to estimate S4)</t>
  </si>
  <si>
    <t>Hotel was farther from the venue than expected; extra daily rides</t>
  </si>
  <si>
    <t>Return shipment was heavier than planned</t>
  </si>
  <si>
    <t>S5 — Edge dates: one night and same day</t>
  </si>
  <si>
    <t>Travel type: Fly (1 night) / local (same day)   |   Expected emails: 9   |   Fee multiplier from Setup tab</t>
  </si>
  <si>
    <t>S5a One Night Trip - xx</t>
  </si>
  <si>
    <t>S5b Same Day Trip - xx</t>
  </si>
  <si>
    <t>Raleigh</t>
  </si>
  <si>
    <t>Charlotte</t>
  </si>
  <si>
    <t>NC</t>
  </si>
  <si>
    <t xml:space="preserve">S5a
Expected</t>
  </si>
  <si>
    <t xml:space="preserve">S5b
Expected</t>
  </si>
  <si>
    <t>S6 — Validation rules + Supervisor return and resubmit</t>
  </si>
  <si>
    <t>Travel type: Fly, 2 travelers   |   Expected emails: 8   |   Fee multiplier from Setup tab</t>
  </si>
  <si>
    <t>S6 Return And Resubmit - xx</t>
  </si>
  <si>
    <t>Houston</t>
  </si>
  <si>
    <t xml:space="preserve">S6 v1
Expected</t>
  </si>
  <si>
    <t xml:space="preserve">S6 v2
Expected</t>
  </si>
  <si>
    <t>S7 — Deny, return and cancel paths</t>
  </si>
  <si>
    <t>Travel type: Fly, 1 traveler (light data)   |   Expected emails: 17   |   Fee multiplier from Setup tab</t>
  </si>
  <si>
    <t>S7a Supervisor Deny - xx</t>
  </si>
  <si>
    <t>S7b Prime Return Then Deny - xx</t>
  </si>
  <si>
    <t>S7c Cancel From Draft - xx</t>
  </si>
  <si>
    <t>S7c Cancel After Submit - xx</t>
  </si>
  <si>
    <t>Detroit</t>
  </si>
  <si>
    <t>Denver</t>
  </si>
  <si>
    <t>Boise</t>
  </si>
  <si>
    <t>Omaha</t>
  </si>
  <si>
    <t>MI</t>
  </si>
  <si>
    <t>CO</t>
  </si>
  <si>
    <t>NE</t>
  </si>
  <si>
    <t xml:space="preserve">S7a
Expected</t>
  </si>
  <si>
    <t xml:space="preserve">S7b
Expected</t>
  </si>
  <si>
    <t xml:space="preserve">S7c-1
Expected</t>
  </si>
  <si>
    <t xml:space="preserve">S7c-2
Expected</t>
  </si>
  <si>
    <t>S8 — Expense return and resubmit, expense deny</t>
  </si>
  <si>
    <t>Travel type: Fly, 1 traveler (light data)   |   Expected emails: 19   |   Fee multiplier from Setup tab</t>
  </si>
  <si>
    <t>S8a Expense Return - xx</t>
  </si>
  <si>
    <t>S8b Expense Deny - xx</t>
  </si>
  <si>
    <t>Phoenix</t>
  </si>
  <si>
    <t>Tucson</t>
  </si>
  <si>
    <t>AZ</t>
  </si>
  <si>
    <t xml:space="preserve">S8a
Expected</t>
  </si>
  <si>
    <t xml:space="preserve">S8b
Expected</t>
  </si>
  <si>
    <t>4.1 EXPENSE REPORT — S8a expense (linked to estimate S8a)</t>
  </si>
  <si>
    <t>4.2 EXPENSE REPORT — S8b expense (linked to estimate S8b)</t>
  </si>
  <si>
    <t>Email log — expected vs received</t>
  </si>
  <si>
    <t>All emails land in the one signed-in inbox. Log each as it arrives. Short notices carry no trip name, so match them by the time of your action.</t>
  </si>
  <si>
    <t>Received</t>
  </si>
  <si>
    <t>Unexpected extras (you)</t>
  </si>
  <si>
    <t>Total</t>
  </si>
  <si>
    <t>Note: expense-report actions are expected to send NO email (Watch W3). Count any that arrive as "Unexpected extras".</t>
  </si>
  <si>
    <t>Email ID</t>
  </si>
  <si>
    <t>Expected subject</t>
  </si>
  <si>
    <t>Template</t>
  </si>
  <si>
    <t>Check 1</t>
  </si>
  <si>
    <t>Expected 1</t>
  </si>
  <si>
    <t>Check 2</t>
  </si>
  <si>
    <t>Expected 2</t>
  </si>
  <si>
    <t>Also verify</t>
  </si>
  <si>
    <t>Received? Y/N</t>
  </si>
  <si>
    <t>Time received</t>
  </si>
  <si>
    <t>Subject OK? Y/N</t>
  </si>
  <si>
    <t>Figures OK? Y/N</t>
  </si>
  <si>
    <t>Tracking # seen</t>
  </si>
  <si>
    <t>Notes</t>
  </si>
  <si>
    <t>S1-E1</t>
  </si>
  <si>
    <t>Travel estimate submitted — Columbia, SC</t>
  </si>
  <si>
    <t>Submitter copy (Requested column only)</t>
  </si>
  <si>
    <t>Grand Total</t>
  </si>
  <si>
    <t>Heading "Columbia, SC — S1 Regional Workshop", 3 nights. Requested column only; no Billable column. No Tracking # yet (none is issued until the first approval). EWW table lists 1 traveler(s) at $0.00.</t>
  </si>
  <si>
    <t>S1-E2</t>
  </si>
  <si>
    <t>Action needed: review as Supervisor — Columbia, SC</t>
  </si>
  <si>
    <t>Supervisor nudge (same body as submitter copy)</t>
  </si>
  <si>
    <t>S1-E3</t>
  </si>
  <si>
    <t>Travel estimate approved — Columbia, SC — &lt;Tracking #&gt;</t>
  </si>
  <si>
    <t>Supervisor record (Requested + Billable to Prime columns)</t>
  </si>
  <si>
    <t>Tracking # (SLIN code, hyphen, 5 digits) in the subject and the body. SLIN code in the heading. Requested AND Billable to Prime columns. Totals rows: Trip Lead, EWW, Grand, Billable to Prime (ODC), Grand Total to Prime. Check EWW table.</t>
  </si>
  <si>
    <t>S1-E4</t>
  </si>
  <si>
    <t>Action needed: Prime authorization — Columbia, SC — &lt;Tracking #&gt;</t>
  </si>
  <si>
    <t>Prime copy (single marked-up Total column)</t>
  </si>
  <si>
    <t>Trip Lead Total (marked up)</t>
  </si>
  <si>
    <t>Grand Total (marked up)</t>
  </si>
  <si>
    <t>Tracking # (SLIN code, hyphen, 5 digits) in the subject and the body. Single "Total" column (marked up). Must NOT contain: Requested, Billable to Prime, the Fees/Taxes note, internal Trip Lead.</t>
  </si>
  <si>
    <t>Travel authorized — Columbia, SC — &lt;Tracking #&gt;</t>
  </si>
  <si>
    <t>Notice: Prime authorized the trip</t>
  </si>
  <si>
    <t>Short notice that names the trip and carries the Tracking # in the subject and the body.</t>
  </si>
  <si>
    <t>S1-E6</t>
  </si>
  <si>
    <t>Expense report submitted — Columbia, SC — &lt;Tracking #&gt;</t>
  </si>
  <si>
    <t>Expense submitter copy (actual vs estimated)</t>
  </si>
  <si>
    <t>Tracking # (SLIN code, hyphen, 5 digits) in the subject and the body. It must be the SAME number as the estimate. Heading shows actual dates and travelers. Table of Estimated / Actual / Difference per category; Explanations section lists the variance and added-category notes; Totals include the read-only EWW Total.</t>
  </si>
  <si>
    <t>S1-E7</t>
  </si>
  <si>
    <t>Action needed: review expense report as Supervisor — Columbia, SC — &lt;Tracking #&gt;</t>
  </si>
  <si>
    <t>Expense Supervisor nudge (same body)</t>
  </si>
  <si>
    <t>Expense report approved — Columbia, SC — &lt;Tracking #&gt;</t>
  </si>
  <si>
    <t>Expense approved (reimbursement finalized)</t>
  </si>
  <si>
    <t>S2-E1</t>
  </si>
  <si>
    <t>Travel estimate submitted — Austin, TX</t>
  </si>
  <si>
    <t>Heading "Austin, TX — S2 Customer Site Visit", 3 nights. Requested column only; no Billable column. No Tracking # yet (none is issued until the first approval). EWW table lists 2 traveler(s) at $0.00.</t>
  </si>
  <si>
    <t>S2-E2</t>
  </si>
  <si>
    <t>Action needed: review as Supervisor — Austin, TX</t>
  </si>
  <si>
    <t>S2-E3</t>
  </si>
  <si>
    <t>Travel estimate approved — Austin, TX — &lt;Tracking #&gt;</t>
  </si>
  <si>
    <t>S2-E4</t>
  </si>
  <si>
    <t>Action needed: Prime authorization — Austin, TX — &lt;Tracking #&gt;</t>
  </si>
  <si>
    <t>Travel authorized — Austin, TX — &lt;Tracking #&gt;</t>
  </si>
  <si>
    <t>S2-E6</t>
  </si>
  <si>
    <t>Expense report submitted — Austin, TX — &lt;Tracking #&gt;</t>
  </si>
  <si>
    <t>S2-E7</t>
  </si>
  <si>
    <t>Action needed: review expense report as Supervisor — Austin, TX — &lt;Tracking #&gt;</t>
  </si>
  <si>
    <t>Expense report approved — Austin, TX — &lt;Tracking #&gt;</t>
  </si>
  <si>
    <t>S3-E1</t>
  </si>
  <si>
    <t>Travel estimate submitted — Nashville, TN</t>
  </si>
  <si>
    <t>Heading "Nashville, TN — S3a Fees-Taxes Excluded", 3 nights. Requested column only; no Billable column. No Tracking # yet (none is issued until the first approval). EWW table lists 1 traveler(s) at $0.00.</t>
  </si>
  <si>
    <t>S3-E2</t>
  </si>
  <si>
    <t>Action needed: review as Supervisor — Nashville, TN</t>
  </si>
  <si>
    <t>S3-E3</t>
  </si>
  <si>
    <t>Travel estimate approved — Nashville, TN — &lt;Tracking #&gt;</t>
  </si>
  <si>
    <t>S3-E4</t>
  </si>
  <si>
    <t>Action needed: Prime authorization — Nashville, TN — &lt;Tracking #&gt;</t>
  </si>
  <si>
    <t>S3-E5</t>
  </si>
  <si>
    <t>Travel estimate submitted — Memphis, TN</t>
  </si>
  <si>
    <t>Heading "Memphis, TN — S3b Over Limit With Quotes", 3 nights. Requested column only; no Billable column. No Tracking # yet (none is issued until the first approval). EWW table lists 1 traveler(s) at $0.00.</t>
  </si>
  <si>
    <t>S3-E6</t>
  </si>
  <si>
    <t>Action needed: review as Supervisor — Memphis, TN</t>
  </si>
  <si>
    <t>S3-E7</t>
  </si>
  <si>
    <t>Travel estimate approved — Memphis, TN — &lt;Tracking #&gt;</t>
  </si>
  <si>
    <t>S3-E8</t>
  </si>
  <si>
    <t>Action needed: Prime authorization — Memphis, TN — &lt;Tracking #&gt;</t>
  </si>
  <si>
    <t>Travel authorized — Memphis, TN — &lt;Tracking #&gt;</t>
  </si>
  <si>
    <t>S4-E1</t>
  </si>
  <si>
    <t>Travel estimate submitted — San Diego, CA</t>
  </si>
  <si>
    <t>Heading "San Diego, CA — S4 Training Cohort Onsite", 10 nights. Requested column only; no Billable column. No Tracking # yet (none is issued until the first approval). EWW table lists 4 traveler(s) at $0.00.</t>
  </si>
  <si>
    <t>S4-E2</t>
  </si>
  <si>
    <t>Action needed: review as Supervisor — San Diego, CA</t>
  </si>
  <si>
    <t>S4-E3</t>
  </si>
  <si>
    <t>Travel estimate approved — San Diego, CA — &lt;Tracking #&gt;</t>
  </si>
  <si>
    <t>S4-E4</t>
  </si>
  <si>
    <t>Action needed: Prime authorization — San Diego, CA — &lt;Tracking #&gt;</t>
  </si>
  <si>
    <t>Travel authorized — San Diego, CA — &lt;Tracking #&gt;</t>
  </si>
  <si>
    <t>S4-E6</t>
  </si>
  <si>
    <t>Expense report submitted — San Diego, CA — &lt;Tracking #&gt;</t>
  </si>
  <si>
    <t>S4-E7</t>
  </si>
  <si>
    <t>Action needed: review expense report as Supervisor — San Diego, CA — &lt;Tracking #&gt;</t>
  </si>
  <si>
    <t>Expense report approved — San Diego, CA — &lt;Tracking #&gt;</t>
  </si>
  <si>
    <t>S5-E1</t>
  </si>
  <si>
    <t>Travel estimate submitted — Raleigh, NC</t>
  </si>
  <si>
    <t>Heading "Raleigh, NC — S5a One Night Trip", 1 nights. Requested column only; no Billable column. No Tracking # yet (none is issued until the first approval). EWW table lists 1 traveler(s) at $0.00.</t>
  </si>
  <si>
    <t>S5-E2</t>
  </si>
  <si>
    <t>Action needed: review as Supervisor — Raleigh, NC</t>
  </si>
  <si>
    <t>S5-E3</t>
  </si>
  <si>
    <t>Travel estimate approved — Raleigh, NC — &lt;Tracking #&gt;</t>
  </si>
  <si>
    <t>S5-E4</t>
  </si>
  <si>
    <t>Action needed: Prime authorization — Raleigh, NC — &lt;Tracking #&gt;</t>
  </si>
  <si>
    <t>Travel authorized — Raleigh, NC — &lt;Tracking #&gt;</t>
  </si>
  <si>
    <t>S5-E6</t>
  </si>
  <si>
    <t>Travel estimate submitted — Charlotte, NC</t>
  </si>
  <si>
    <t>Heading "Charlotte, NC — S5b Same Day Trip", 0 nights. Requested column only; no Billable column. No Tracking # yet (none is issued until the first approval). EWW table lists 1 traveler(s) at $0.00.</t>
  </si>
  <si>
    <t>S5-E7</t>
  </si>
  <si>
    <t>Action needed: review as Supervisor — Charlotte, NC</t>
  </si>
  <si>
    <t>S5-E8</t>
  </si>
  <si>
    <t>Travel estimate approved — Charlotte, NC — &lt;Tracking #&gt;</t>
  </si>
  <si>
    <t>S5-E9</t>
  </si>
  <si>
    <t>Action needed: Prime authorization — Charlotte, NC — &lt;Tracking #&gt;</t>
  </si>
  <si>
    <t>S6-E1</t>
  </si>
  <si>
    <t>Travel estimate submitted — Houston, TX</t>
  </si>
  <si>
    <t>Heading "Houston, TX — S6 Return And Resubmit", 3 nights. Requested column only; no Billable column. No Tracking # yet (none is issued until the first approval). EWW table lists 2 traveler(s) at $0.00.</t>
  </si>
  <si>
    <t>S6-E2</t>
  </si>
  <si>
    <t>Action needed: review as Supervisor — Houston, TX</t>
  </si>
  <si>
    <t>Travel estimate returned — Houston, TX</t>
  </si>
  <si>
    <t>Notice: Supervisor returned the estimate</t>
  </si>
  <si>
    <t>Note text must read</t>
  </si>
  <si>
    <t>Airfare is higher than comparable fares - please recheck fare class</t>
  </si>
  <si>
    <t>Short notice that names the trip. No Tracking # yet: none is issued before the first approval. The note text appears in the body.</t>
  </si>
  <si>
    <t>S6-E4</t>
  </si>
  <si>
    <t>Heading "Houston, TX — S6 Return And Resubmit", 3 nights. Requested column only; no Billable column. No Tracking # yet (none is issued until the first approval). EWW table lists 2 traveler(s) with the saved EWW.</t>
  </si>
  <si>
    <t>S6-E5</t>
  </si>
  <si>
    <t>S6-E6</t>
  </si>
  <si>
    <t>Travel estimate approved — Houston, TX — &lt;Tracking #&gt;</t>
  </si>
  <si>
    <t>S6-E7</t>
  </si>
  <si>
    <t>Action needed: Prime authorization — Houston, TX — &lt;Tracking #&gt;</t>
  </si>
  <si>
    <t>Travel authorized — Houston, TX — &lt;Tracking #&gt;</t>
  </si>
  <si>
    <t>S7-E1</t>
  </si>
  <si>
    <t>Travel estimate submitted — Detroit, MI</t>
  </si>
  <si>
    <t>Heading "Detroit, MI — S7a Supervisor Deny", 2 nights. Requested column only; no Billable column. No Tracking # yet (none is issued until the first approval). EWW table lists 1 traveler(s) at $0.00.</t>
  </si>
  <si>
    <t>S7-E2</t>
  </si>
  <si>
    <t>Action needed: review as Supervisor — Detroit, MI</t>
  </si>
  <si>
    <t>Travel estimate denied — Detroit, MI</t>
  </si>
  <si>
    <t>Notice: Supervisor denied the estimate</t>
  </si>
  <si>
    <t>Not funded this quarter</t>
  </si>
  <si>
    <t>S7-E4</t>
  </si>
  <si>
    <t>Travel estimate submitted — Denver, CO</t>
  </si>
  <si>
    <t>Heading "Denver, CO — S7b Prime Return Then Deny", 2 nights. Requested column only; no Billable column. No Tracking # yet (none is issued until the first approval). EWW table lists 1 traveler(s) at $0.00.</t>
  </si>
  <si>
    <t>S7-E5</t>
  </si>
  <si>
    <t>Action needed: review as Supervisor — Denver, CO</t>
  </si>
  <si>
    <t>S7-E6</t>
  </si>
  <si>
    <t>Travel estimate approved — Denver, CO — &lt;Tracking #&gt;</t>
  </si>
  <si>
    <t>S7-E7</t>
  </si>
  <si>
    <t>Action needed: Prime authorization — Denver, CO — &lt;Tracking #&gt;</t>
  </si>
  <si>
    <t>Travel authorization returned — Denver, CO — &lt;Tracking #&gt;</t>
  </si>
  <si>
    <t>Notice: Prime returned the authorization</t>
  </si>
  <si>
    <t>Please add the customer PO to the event name</t>
  </si>
  <si>
    <t>Short notice that names the trip and carries the Tracking # in the subject and the body. The note text appears in the body.</t>
  </si>
  <si>
    <t>S7-E9</t>
  </si>
  <si>
    <t>Travel estimate submitted — Denver, CO — &lt;Tracking #&gt;</t>
  </si>
  <si>
    <t>Heading "Denver, CO — S7b Prime Return Then Deny", 2 nights. Requested column only; no Billable column. Resubmission after a Prime return: Tracking # (SLIN code, hyphen, 5 digits) in the subject and the body. Same number as the original approval. EWW table lists 1 traveler(s) at $0.00.</t>
  </si>
  <si>
    <t>S7-E10</t>
  </si>
  <si>
    <t>Action needed: review as Supervisor — Denver, CO — &lt;Tracking #&gt;</t>
  </si>
  <si>
    <t>S7-E11</t>
  </si>
  <si>
    <t>Tracking # (SLIN code, hyphen, 5 digits) in the subject and the body. SLIN code in the heading. Requested AND Billable to Prime columns. Totals rows: Trip Lead, EWW, Grand, Billable to Prime (ODC), Grand Total to Prime. Check EWW table. Re-approval: the number must be unchanged.</t>
  </si>
  <si>
    <t>S7-E12</t>
  </si>
  <si>
    <t>Tracking # (SLIN code, hyphen, 5 digits) in the subject and the body. Single "Total" column (marked up). Must NOT contain: Requested, Billable to Prime, the Fees/Taxes note, internal Trip Lead. Re-approval: the number must be unchanged.</t>
  </si>
  <si>
    <t>Travel authorization denied — Denver, CO — &lt;Tracking #&gt;</t>
  </si>
  <si>
    <t>Notice: Prime denied the authorization</t>
  </si>
  <si>
    <t>Budget exhausted</t>
  </si>
  <si>
    <t>Travel estimate cancelled — Boise, ID</t>
  </si>
  <si>
    <t>Notice: employee cancelled the request</t>
  </si>
  <si>
    <t>Short notice that names the trip. No Tracking # yet: none is issued before the first approval.</t>
  </si>
  <si>
    <t>S7-E15</t>
  </si>
  <si>
    <t>Travel estimate submitted — Omaha, NE</t>
  </si>
  <si>
    <t>Heading "Omaha, NE — S7c Cancel After Submit", 2 nights. Requested column only; no Billable column. No Tracking # yet (none is issued until the first approval). EWW table lists 1 traveler(s) at $0.00.</t>
  </si>
  <si>
    <t>S7-E16</t>
  </si>
  <si>
    <t>Action needed: review as Supervisor — Omaha, NE</t>
  </si>
  <si>
    <t>S7-E17</t>
  </si>
  <si>
    <t>Travel estimate cancelled — Omaha, NE</t>
  </si>
  <si>
    <t>S8-E1</t>
  </si>
  <si>
    <t>Travel estimate submitted — Phoenix, AZ</t>
  </si>
  <si>
    <t>Heading "Phoenix, AZ — S8a Expense Return", 2 nights. Requested column only; no Billable column. No Tracking # yet (none is issued until the first approval). EWW table lists 1 traveler(s) at $0.00.</t>
  </si>
  <si>
    <t>S8-E2</t>
  </si>
  <si>
    <t>Action needed: review as Supervisor — Phoenix, AZ</t>
  </si>
  <si>
    <t>S8-E3</t>
  </si>
  <si>
    <t>Travel estimate approved — Phoenix, AZ — &lt;Tracking #&gt;</t>
  </si>
  <si>
    <t>S8-E4</t>
  </si>
  <si>
    <t>Action needed: Prime authorization — Phoenix, AZ — &lt;Tracking #&gt;</t>
  </si>
  <si>
    <t>Travel authorized — Phoenix, AZ — &lt;Tracking #&gt;</t>
  </si>
  <si>
    <t>S8-E6</t>
  </si>
  <si>
    <t>Travel estimate submitted — Tucson, AZ</t>
  </si>
  <si>
    <t>Heading "Tucson, AZ — S8b Expense Deny", 2 nights. Requested column only; no Billable column. No Tracking # yet (none is issued until the first approval). EWW table lists 1 traveler(s) at $0.00.</t>
  </si>
  <si>
    <t>S8-E7</t>
  </si>
  <si>
    <t>Action needed: review as Supervisor — Tucson, AZ</t>
  </si>
  <si>
    <t>S8-E8</t>
  </si>
  <si>
    <t>Travel estimate approved — Tucson, AZ — &lt;Tracking #&gt;</t>
  </si>
  <si>
    <t>S8-E9</t>
  </si>
  <si>
    <t>Action needed: Prime authorization — Tucson, AZ — &lt;Tracking #&gt;</t>
  </si>
  <si>
    <t>Travel authorized — Tucson, AZ — &lt;Tracking #&gt;</t>
  </si>
  <si>
    <t>S8-E11</t>
  </si>
  <si>
    <t>Expense report submitted — Phoenix, AZ — &lt;Tracking #&gt;</t>
  </si>
  <si>
    <t>S8-E12</t>
  </si>
  <si>
    <t>Action needed: review expense report as Supervisor — Phoenix, AZ — &lt;Tracking #&gt;</t>
  </si>
  <si>
    <t>Expense report returned — Phoenix, AZ — &lt;Tracking #&gt;</t>
  </si>
  <si>
    <t>Notice: Supervisor returned the expense report</t>
  </si>
  <si>
    <t>Lodging receipt is unreadable - please re-upload</t>
  </si>
  <si>
    <t>S8-E14</t>
  </si>
  <si>
    <t>S8-E15</t>
  </si>
  <si>
    <t>Expense report approved — Phoenix, AZ — &lt;Tracking #&gt;</t>
  </si>
  <si>
    <t>S8-E17</t>
  </si>
  <si>
    <t>Expense report submitted — Tucson, AZ — &lt;Tracking #&gt;</t>
  </si>
  <si>
    <t>S8-E18</t>
  </si>
  <si>
    <t>Action needed: review expense report as Supervisor — Tucson, AZ — &lt;Tracking #&gt;</t>
  </si>
  <si>
    <t>Expense report denied — Tucson, AZ — &lt;Tracking #&gt;</t>
  </si>
  <si>
    <t>Notice: Supervisor denied the expense report</t>
  </si>
  <si>
    <t>Duplicate of another claim</t>
  </si>
  <si>
    <t>Control coverage matrix</t>
  </si>
  <si>
    <t>A dot means a step in that scenario uses the control. Built from the Steps tab, so it always matches what you actually run.</t>
  </si>
  <si>
    <t>Controls total / covered / gaps</t>
  </si>
  <si>
    <t>Area</t>
  </si>
  <si>
    <t>Control</t>
  </si>
  <si>
    <t>What to verify</t>
  </si>
  <si>
    <t>Scenarios</t>
  </si>
  <si>
    <t>E01</t>
  </si>
  <si>
    <t>Estimate form</t>
  </si>
  <si>
    <t>Free text. Persists through draft/reopen. Appears in emails and lists.</t>
  </si>
  <si>
    <t>●</t>
  </si>
  <si>
    <t>E02</t>
  </si>
  <si>
    <t>Free text. Leaving the field triggers the GSA lookup when State is also set.</t>
  </si>
  <si>
    <t>E03</t>
  </si>
  <si>
    <t>Type-ahead for 50 states + DC; stores the 2-letter code.</t>
  </si>
  <si>
    <t>Dropdown. Required to submit.</t>
  </si>
  <si>
    <t>Date picker. Recalculates Nights and Per Diem. Triggers GSA lookup.</t>
  </si>
  <si>
    <t>E06</t>
  </si>
  <si>
    <t>Date picker. Must be on/after Leave Date to submit.</t>
  </si>
  <si>
    <t>E07</t>
  </si>
  <si>
    <t>Travelers (1-4)</t>
  </si>
  <si>
    <t>Dropdown. Adds or removes traveler rows. Multiplies per-traveler costs.</t>
  </si>
  <si>
    <t>E08</t>
  </si>
  <si>
    <t>Traveler 2-4 picker</t>
  </si>
  <si>
    <t>Roster dropdown. Excludes already-chosen people. Required before submit.</t>
  </si>
  <si>
    <t>Remove traveler (x)</t>
  </si>
  <si>
    <t>Removes a slot, renumbers, Travelers count follows.</t>
  </si>
  <si>
    <t>E10</t>
  </si>
  <si>
    <t>Refresh GSA Rates button</t>
  </si>
  <si>
    <t>Re-runs lookup and overwrites rate fields.</t>
  </si>
  <si>
    <t>E11</t>
  </si>
  <si>
    <t>GSA Lodging Rate</t>
  </si>
  <si>
    <t>Currency field. Drives the lodging limit check.</t>
  </si>
  <si>
    <t>E12</t>
  </si>
  <si>
    <t>Meals (M&amp;IE) Rate</t>
  </si>
  <si>
    <t>Currency field. Drives per diem meals.</t>
  </si>
  <si>
    <t>E13</t>
  </si>
  <si>
    <t>Room Cost</t>
  </si>
  <si>
    <t>Currency field. Only this (not fees/taxes) counts toward the limit.</t>
  </si>
  <si>
    <t>E14</t>
  </si>
  <si>
    <t>Currency field. Flows into the per-traveler subtotal and the markup.</t>
  </si>
  <si>
    <t>E15</t>
  </si>
  <si>
    <t>Currency field. Recorded only; not added again.</t>
  </si>
  <si>
    <t>E16</t>
  </si>
  <si>
    <t>Upload Comparison Quotes (modal)</t>
  </si>
  <si>
    <t>Upload up to 3 files. Button counts n of 3. Creates a draft silently.</t>
  </si>
  <si>
    <t>Quote nightly rate field</t>
  </si>
  <si>
    <t>Number per quote. Modal shows the average. All 3 needed to submit.</t>
  </si>
  <si>
    <t>E19</t>
  </si>
  <si>
    <t>Currency field. Per traveler.</t>
  </si>
  <si>
    <t>E20</t>
  </si>
  <si>
    <t>E21</t>
  </si>
  <si>
    <t>E22</t>
  </si>
  <si>
    <t>Currency field. Trip-level.</t>
  </si>
  <si>
    <t>E23</t>
  </si>
  <si>
    <t>E24</t>
  </si>
  <si>
    <t>E25</t>
  </si>
  <si>
    <t>E26</t>
  </si>
  <si>
    <t>E27</t>
  </si>
  <si>
    <t>E28</t>
  </si>
  <si>
    <t>E29</t>
  </si>
  <si>
    <t>E30</t>
  </si>
  <si>
    <t>Save as Draft button</t>
  </si>
  <si>
    <t>Saves without validation. Toast "Draft saved." No email.</t>
  </si>
  <si>
    <t>Submit Estimate button</t>
  </si>
  <si>
    <t>Validates, saves, sends 2 emails, toast.</t>
  </si>
  <si>
    <t>Cancel button (form)</t>
  </si>
  <si>
    <t>Leaves the form without saving.</t>
  </si>
  <si>
    <t>Currency input behavior</t>
  </si>
  <si>
    <t>Clears on click, formats $X.XX on Tab, live-updates totals.</t>
  </si>
  <si>
    <t>E34</t>
  </si>
  <si>
    <t>Over-limit warning box</t>
  </si>
  <si>
    <t>Appears only when average ROOM cost per night exceeds the GSA rate.</t>
  </si>
  <si>
    <t>Unsaved-changes prompt</t>
  </si>
  <si>
    <t>Browser confirms before leaving with edits.</t>
  </si>
  <si>
    <t>L01</t>
  </si>
  <si>
    <t>My Estimates list</t>
  </si>
  <si>
    <t>Row button (Edit Draft / Edit &amp; Resubmit / View)</t>
  </si>
  <si>
    <t>Edit Draft for drafts, Edit &amp; Resubmit for RETURNED only, View for everything else (including denied).</t>
  </si>
  <si>
    <t>L02</t>
  </si>
  <si>
    <t>Cancel (red x) + confirmation</t>
  </si>
  <si>
    <t>Shown for open requests only: not paid, cancelled or denied. Confirm prompt. Sends a cancellation email.</t>
  </si>
  <si>
    <t>L03</t>
  </si>
  <si>
    <t>Pending vs Paid / Cancelled cards</t>
  </si>
  <si>
    <t>Rows land in the right card by status.</t>
  </si>
  <si>
    <t>L04</t>
  </si>
  <si>
    <t>Return/Deny note banner</t>
  </si>
  <si>
    <t>Red banner with the approver's note (editable form when returned, read-only detail when denied).</t>
  </si>
  <si>
    <t>S01</t>
  </si>
  <si>
    <t>Supervisor estimate review</t>
  </si>
  <si>
    <t>Approvals &gt; Estimates queue + Review</t>
  </si>
  <si>
    <t>Lists submitted estimates with Grand Total.</t>
  </si>
  <si>
    <t>S02</t>
  </si>
  <si>
    <t>EWW Rate (per traveler)</t>
  </si>
  <si>
    <t>Currency field per traveler (payroll-verified). Updates EWW cost live.</t>
  </si>
  <si>
    <t>S03</t>
  </si>
  <si>
    <t>EWW Hours (per traveler)</t>
  </si>
  <si>
    <t>Number field per traveler.</t>
  </si>
  <si>
    <t>S04</t>
  </si>
  <si>
    <t>Billing: Contract</t>
  </si>
  <si>
    <t>Dropdown. Resets Task Order and SLIN.</t>
  </si>
  <si>
    <t>S05</t>
  </si>
  <si>
    <t>Billing: Task Order</t>
  </si>
  <si>
    <t>Filtered by Contract. Resets SLIN.</t>
  </si>
  <si>
    <t>S06</t>
  </si>
  <si>
    <t>Billing: SLIN</t>
  </si>
  <si>
    <t>Filtered by Task Order. Required to approve. Becomes the first half of the tracking number.</t>
  </si>
  <si>
    <t>S07</t>
  </si>
  <si>
    <t>Note box</t>
  </si>
  <si>
    <t>Required for Return/Deny; hidden until needed.</t>
  </si>
  <si>
    <t>S08</t>
  </si>
  <si>
    <t>Approve button</t>
  </si>
  <si>
    <t>First approval issues the tracking number (SLIN-00001). Sends 2 emails.</t>
  </si>
  <si>
    <t>S09</t>
  </si>
  <si>
    <t>Return button</t>
  </si>
  <si>
    <t>Needs a note. Keeps EWW. Sends 1 email.</t>
  </si>
  <si>
    <t>S10</t>
  </si>
  <si>
    <t>Deny button</t>
  </si>
  <si>
    <t>Needs a note. Stores the request as denied. Sends 1 email.</t>
  </si>
  <si>
    <t>S11</t>
  </si>
  <si>
    <t>Close button</t>
  </si>
  <si>
    <t>Closes the review without a decision.</t>
  </si>
  <si>
    <t>S12</t>
  </si>
  <si>
    <t>Read-only mirrored form</t>
  </si>
  <si>
    <t>All submitter fields locked; EWW fields editable.</t>
  </si>
  <si>
    <t>P01</t>
  </si>
  <si>
    <t>Prime authorization</t>
  </si>
  <si>
    <t>Travel Authorizations queue + Review</t>
  </si>
  <si>
    <t>Lists Supervisor-approved estimates with tracking # and billable total.</t>
  </si>
  <si>
    <t>Authorize Travel button</t>
  </si>
  <si>
    <t>Moves to approved. Sends 1 email with trip and tracking number.</t>
  </si>
  <si>
    <t>P03</t>
  </si>
  <si>
    <t>Needs a note. Sends 1 email.</t>
  </si>
  <si>
    <t>P04</t>
  </si>
  <si>
    <t>P05</t>
  </si>
  <si>
    <t>Required for Return/Deny.</t>
  </si>
  <si>
    <t>P06</t>
  </si>
  <si>
    <t>Closes the review.</t>
  </si>
  <si>
    <t>P07</t>
  </si>
  <si>
    <t>Marked-up read-only form</t>
  </si>
  <si>
    <t>Shows billable amounts only; hides Room Cost, Fees, Taxes, GSA warning. Total matches the queue to the cent.</t>
  </si>
  <si>
    <t>Expense report</t>
  </si>
  <si>
    <t>Authorized Estimate picker</t>
  </si>
  <si>
    <t>Lists approved, un-expensed estimates with [tracking #].</t>
  </si>
  <si>
    <t>X02</t>
  </si>
  <si>
    <t>Date picker. Recalculates Nights/Per Diem.</t>
  </si>
  <si>
    <t>X03</t>
  </si>
  <si>
    <t>Date picker. Must be on/after leave to submit.</t>
  </si>
  <si>
    <t>X04</t>
  </si>
  <si>
    <t>Number field. Multiplies per-traveler costs.</t>
  </si>
  <si>
    <t>X05</t>
  </si>
  <si>
    <t>Number field. Prefilled from the estimate.</t>
  </si>
  <si>
    <t>X08</t>
  </si>
  <si>
    <t>Actual cost fields (12 categories)</t>
  </si>
  <si>
    <t>Currency fields; only categories with an estimate show by default.</t>
  </si>
  <si>
    <t>X09</t>
  </si>
  <si>
    <t>Receipt upload (per category)</t>
  </si>
  <si>
    <t>Image/PDF thumbnail appears in that category.</t>
  </si>
  <si>
    <t>X10</t>
  </si>
  <si>
    <t>Receipt remove (x)</t>
  </si>
  <si>
    <t>Removes the receipt.</t>
  </si>
  <si>
    <t>X11</t>
  </si>
  <si>
    <t>Variance explanation box</t>
  </si>
  <si>
    <t>Appears when actual &gt; 110% of estimate; required to submit.</t>
  </si>
  <si>
    <t>X12</t>
  </si>
  <si>
    <t>Additional Expenses: add category</t>
  </si>
  <si>
    <t>Adds a row for a category with no estimate.</t>
  </si>
  <si>
    <t>X13</t>
  </si>
  <si>
    <t>Additional Expense note</t>
  </si>
  <si>
    <t>Required: why it was not on the estimate.</t>
  </si>
  <si>
    <t>X14</t>
  </si>
  <si>
    <t>Additional Expense remove (x)</t>
  </si>
  <si>
    <t>Removes the added row.</t>
  </si>
  <si>
    <t>X15</t>
  </si>
  <si>
    <t>Saves; values reload on Edit Draft. No email.</t>
  </si>
  <si>
    <t>Submit Expense Report button</t>
  </si>
  <si>
    <t>Validates notes; estimate becomes expensed. Sends 2 emails.</t>
  </si>
  <si>
    <t>X17</t>
  </si>
  <si>
    <t>My Expense Reports row button</t>
  </si>
  <si>
    <t>Edit Draft for drafts, Edit &amp; Resubmit for RETURNED only, View otherwise (including denied).</t>
  </si>
  <si>
    <t>No EWW fields to type. Shows the exact total payroll verified on the estimate.</t>
  </si>
  <si>
    <t>X20</t>
  </si>
  <si>
    <t>Returned-report banner</t>
  </si>
  <si>
    <t>Red banner with the Supervisor's note on a returned report; title reads Edit &amp; Resubmit.</t>
  </si>
  <si>
    <t>X21</t>
  </si>
  <si>
    <t>Resubmit a returned report</t>
  </si>
  <si>
    <t>Submit sends it back to the Supervisor queue and sends 2 emails.</t>
  </si>
  <si>
    <t>V01</t>
  </si>
  <si>
    <t>Supervisor expense review</t>
  </si>
  <si>
    <t>Expense queue + Review</t>
  </si>
  <si>
    <t>Lists submitted expense reports.</t>
  </si>
  <si>
    <t>Finalizes reimbursement; estimate becomes paid. Sends 1 email.</t>
  </si>
  <si>
    <t>V03</t>
  </si>
  <si>
    <t>Needs a note. Employee can edit and resubmit. Sends 1 email.</t>
  </si>
  <si>
    <t>V04</t>
  </si>
  <si>
    <t>Needs a note. Stores the report as denied. Sends 1 email.</t>
  </si>
  <si>
    <t>V05</t>
  </si>
  <si>
    <t>V06</t>
  </si>
  <si>
    <t>V07</t>
  </si>
  <si>
    <t>Read-only form + header counts</t>
  </si>
  <si>
    <t>Categories &gt;10% over and Added categories counts.</t>
  </si>
  <si>
    <t>General</t>
  </si>
  <si>
    <t>Role switcher (Switch Role)</t>
  </si>
  <si>
    <t>Employee / Supervisor / Prime.</t>
  </si>
  <si>
    <t>G02</t>
  </si>
  <si>
    <t>Notification emails</t>
  </si>
  <si>
    <t>Counted and checked on the Emails tab.</t>
  </si>
  <si>
    <t>G03</t>
  </si>
  <si>
    <t>Success toast</t>
  </si>
  <si>
    <t>Appears after save/submit.</t>
  </si>
  <si>
    <t>Watch list — suspected issues from reading the code</t>
  </si>
  <si>
    <t>These are hypotheses, not confirmed bugs. During the run, mark each Confirmed / Not seen and add evidence.</t>
  </si>
  <si>
    <t>What we think will happen</t>
  </si>
  <si>
    <t>Where to confirm</t>
  </si>
  <si>
    <t>Confirmed?</t>
  </si>
  <si>
    <t>Evidence / notes</t>
  </si>
  <si>
    <t>W1</t>
  </si>
  <si>
    <t>Math / policy</t>
  </si>
  <si>
    <t>Same-day trip (leave date = return date) pays 1.5 x the M&amp;IE rate, which is more than one full day. With M&amp;IE at $64.00 the app pays $96.00; a single 75% day would be $48.00; a rule that excludes day trips would be $0.00. The same formula is used on the expense side. Needs a policy decision (see the question written out in the handoff).</t>
  </si>
  <si>
    <t>S5 (S5b)</t>
  </si>
  <si>
    <t>W2</t>
  </si>
  <si>
    <t>UI</t>
  </si>
  <si>
    <t>Currency fields accept negative numbers and show no thousands separator ($1234.50).</t>
  </si>
  <si>
    <t>S6 (validation 6)</t>
  </si>
  <si>
    <t>W3</t>
  </si>
  <si>
    <t>Email</t>
  </si>
  <si>
    <t>A failed email send is silent in the UI (console only). A missing email is only caught by counting the inbox.</t>
  </si>
  <si>
    <t>All</t>
  </si>
  <si>
    <t>W4</t>
  </si>
  <si>
    <t>UX</t>
  </si>
  <si>
    <t>Lodging, airfare, baggage and airport parking are per traveler and multiplied by Travelers, but the labels do not say so.</t>
  </si>
  <si>
    <t>S2, S4</t>
  </si>
  <si>
    <t>W5</t>
  </si>
  <si>
    <t>Email line items are per-traveler (or per-trip) amounts, so with 2+ travelers they do not add up to the Trip Lead Total shown beneath them.</t>
  </si>
  <si>
    <t>W6</t>
  </si>
  <si>
    <t>Not built yet</t>
  </si>
  <si>
    <t>Expense reports cannot be created without a travel request. The tracking rule for those (number issued at the first approval) has no screen to test yet.</t>
  </si>
  <si>
    <t>None</t>
  </si>
  <si>
    <t>W7</t>
  </si>
  <si>
    <t>Assumption</t>
  </si>
  <si>
    <t>The tracking counter is ONE sequence across all SLINs (00001, 00002, ... in approval order, whatever the SLIN). It never reuses a number but can skip one if a save fails after the number is issued. Confirm this is what the team wants versus a counter per SLIN.</t>
  </si>
  <si>
    <t>S1-S8 (every approval)</t>
  </si>
  <si>
    <t>W8</t>
  </si>
  <si>
    <t>Data</t>
  </si>
  <si>
    <t>Estimates approved before this change keep their old "TRK-date-number" tracking numbers. Test with new estimates only.</t>
  </si>
  <si>
    <t>Defect log</t>
  </si>
  <si>
    <t>For problems not already on the Watch List. Attach a screenshot and name it in Evidence.</t>
  </si>
  <si>
    <t>Date</t>
  </si>
  <si>
    <t>Scenario / step</t>
  </si>
  <si>
    <t>Severity</t>
  </si>
  <si>
    <t>Type</t>
  </si>
  <si>
    <t>Actual</t>
  </si>
  <si>
    <t>Evidence (file)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</si>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</sst>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0"/>
    <numFmt numFmtId="165" formatCode="$#,##0.00"/>
    <numFmt numFmtId="166" formatCode="mm/dd/yyyy"/>
    <numFmt numFmtId="167" formatCode="$#,##0.00;[Red]-$#,##0.00"/>
    <numFmt numFmtId="168" formatCode="0.0%"/>
  </numFmts>
  <fonts count="11" x14ac:knownFonts="1">
    <font>
      <color theme="1"/>
      <family val="2"/>
      <scheme val="minor"/>
      <sz val="11"/>
      <name val="Calibri"/>
    </font>
    <font>
      <b/>
      <color rgb="FF122A54"/>
      <sz val="16"/>
      <name val="Arial"/>
    </font>
    <font>
      <i/>
      <color rgb="FF5C607E"/>
      <sz val="10"/>
      <name val="Arial"/>
    </font>
    <font>
      <b/>
      <color rgb="FFFFFFFF"/>
      <sz val="11"/>
      <name val="Arial"/>
    </font>
    <font>
      <sz val="10"/>
      <name val="Arial"/>
    </font>
    <font>
      <color rgb="FF0000FF"/>
      <sz val="10"/>
      <name val="Arial"/>
    </font>
    <font>
      <i/>
      <color rgb="FF5C607E"/>
      <sz val="9"/>
      <name val="Arial"/>
    </font>
    <font>
      <b/>
      <sz val="10"/>
      <name val="Arial"/>
    </font>
    <font>
      <color rgb="FF007A33"/>
      <sz val="10"/>
      <name val="Arial"/>
    </font>
    <font>
      <i/>
      <color rgb="FF8A8FA3"/>
      <sz val="9"/>
      <name val="Arial"/>
    </font>
    <font>
      <b/>
      <color rgb="FF122A54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22A54"/>
      </patternFill>
    </fill>
    <fill>
      <patternFill patternType="solid">
        <fgColor rgb="FFFFF2B3"/>
      </patternFill>
    </fill>
    <fill>
      <patternFill patternType="solid">
        <fgColor rgb="FFF2F3F5"/>
      </patternFill>
    </fill>
    <fill>
      <patternFill patternType="solid">
        <fgColor rgb="FFE9EAEE"/>
      </patternFill>
    </fill>
    <fill>
      <patternFill patternType="solid">
        <fgColor rgb="FFDCE6F5"/>
      </patternFill>
    </fill>
  </fills>
  <borders count="2">
    <border>
      <left/>
      <right/>
      <top/>
      <bottom/>
      <diagonal/>
    </border>
    <border>
      <left style="thin">
        <color rgb="FFBFC3CC"/>
      </left>
      <right style="thin">
        <color rgb="FFBFC3CC"/>
      </right>
      <top style="thin">
        <color rgb="FFBFC3CC"/>
      </top>
      <bottom style="thin">
        <color rgb="FFBFC3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/>
    </xf>
    <xf numFmtId="0" fontId="4" fillId="0" borderId="1" xfId="0" applyFont="1" applyBorder="1" applyAlignment="1">
      <alignment vertical="top" wrapText="1"/>
    </xf>
    <xf numFmtId="164" fontId="5" fillId="0" borderId="1" xfId="0" applyNumberFormat="1" applyFont="1" applyBorder="1" applyAlignment="1">
      <alignment horizontal="right" vertical="top" wrapText="1"/>
    </xf>
    <xf numFmtId="0" fontId="6" fillId="0" borderId="1" xfId="0" applyFont="1" applyBorder="1" applyAlignment="1">
      <alignment vertical="top" wrapText="1"/>
    </xf>
    <xf numFmtId="165" fontId="5" fillId="0" borderId="1" xfId="0" applyNumberFormat="1" applyFont="1" applyBorder="1" applyAlignment="1">
      <alignment horizontal="right" vertical="top" wrapText="1"/>
    </xf>
    <xf numFmtId="0" fontId="5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right" vertical="top" wrapText="1"/>
    </xf>
    <xf numFmtId="0" fontId="8" fillId="0" borderId="1" xfId="0" applyFont="1" applyBorder="1" applyAlignment="1">
      <alignment horizontal="right" vertical="top" wrapText="1"/>
    </xf>
    <xf numFmtId="0" fontId="4" fillId="3" borderId="1" xfId="0" applyFont="1" applyFill="1" applyBorder="1" applyAlignment="1">
      <alignment horizontal="right" vertical="top" wrapText="1"/>
    </xf>
    <xf numFmtId="0" fontId="9" fillId="4" borderId="1" xfId="0" applyFont="1" applyFill="1" applyBorder="1" applyAlignment="1">
      <alignment horizontal="center" vertical="top"/>
    </xf>
    <xf numFmtId="0" fontId="7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right" vertical="top" wrapText="1"/>
    </xf>
    <xf numFmtId="1" fontId="8" fillId="0" borderId="1" xfId="0" applyNumberFormat="1" applyFont="1" applyBorder="1" applyAlignment="1">
      <alignment horizontal="right" vertical="top" wrapText="1"/>
    </xf>
    <xf numFmtId="166" fontId="5" fillId="0" borderId="1" xfId="0" applyNumberFormat="1" applyFont="1" applyBorder="1" applyAlignment="1">
      <alignment horizontal="right" vertical="top" wrapText="1"/>
    </xf>
    <xf numFmtId="1" fontId="5" fillId="0" borderId="1" xfId="0" applyNumberFormat="1" applyFont="1" applyBorder="1" applyAlignment="1">
      <alignment horizontal="right" vertical="top" wrapText="1"/>
    </xf>
    <xf numFmtId="0" fontId="10" fillId="6" borderId="0" xfId="0" applyFont="1" applyFill="1" applyAlignment="1">
      <alignment vertical="top" wrapText="1"/>
    </xf>
    <xf numFmtId="2" fontId="5" fillId="0" borderId="1" xfId="0" applyNumberFormat="1" applyFont="1" applyBorder="1" applyAlignment="1">
      <alignment horizontal="right" vertical="top" wrapText="1"/>
    </xf>
    <xf numFmtId="165" fontId="4" fillId="0" borderId="1" xfId="0" applyNumberFormat="1" applyFont="1" applyBorder="1" applyAlignment="1">
      <alignment horizontal="right" vertical="top" wrapText="1"/>
    </xf>
    <xf numFmtId="165" fontId="7" fillId="0" borderId="1" xfId="0" applyNumberFormat="1" applyFont="1" applyBorder="1" applyAlignment="1">
      <alignment horizontal="right" vertical="top" wrapText="1"/>
    </xf>
    <xf numFmtId="1" fontId="4" fillId="3" borderId="1" xfId="0" applyNumberFormat="1" applyFont="1" applyFill="1" applyBorder="1" applyAlignment="1">
      <alignment horizontal="right" vertical="top" wrapText="1"/>
    </xf>
    <xf numFmtId="0" fontId="7" fillId="0" borderId="1" xfId="0" applyFont="1" applyBorder="1" applyAlignment="1">
      <alignment horizontal="center" vertical="top"/>
    </xf>
    <xf numFmtId="165" fontId="4" fillId="3" borderId="1" xfId="0" applyNumberFormat="1" applyFont="1" applyFill="1" applyBorder="1" applyAlignment="1">
      <alignment horizontal="right" vertical="top" wrapText="1"/>
    </xf>
    <xf numFmtId="167" fontId="4" fillId="0" borderId="1" xfId="0" applyNumberFormat="1" applyFont="1" applyBorder="1" applyAlignment="1">
      <alignment horizontal="right" vertical="top" wrapText="1"/>
    </xf>
    <xf numFmtId="168" fontId="4" fillId="0" borderId="1" xfId="0" applyNumberFormat="1" applyFont="1" applyBorder="1" applyAlignment="1">
      <alignment horizontal="right" vertical="top" wrapText="1"/>
    </xf>
    <xf numFmtId="167" fontId="7" fillId="0" borderId="1" xfId="0" applyNumberFormat="1" applyFont="1" applyBorder="1" applyAlignment="1">
      <alignment horizontal="right" vertical="top" wrapText="1"/>
    </xf>
    <xf numFmtId="167" fontId="4" fillId="3" borderId="1" xfId="0" applyNumberFormat="1" applyFont="1" applyFill="1" applyBorder="1" applyAlignment="1">
      <alignment horizontal="right" vertical="top" wrapText="1"/>
    </xf>
    <xf numFmtId="1" fontId="7" fillId="0" borderId="1" xfId="0" applyNumberFormat="1" applyFont="1" applyBorder="1" applyAlignment="1">
      <alignment horizontal="right" vertical="top" wrapText="1"/>
    </xf>
    <xf numFmtId="165" fontId="8" fillId="0" borderId="1" xfId="0" applyNumberFormat="1" applyFont="1" applyBorder="1" applyAlignment="1">
      <alignment horizontal="right" vertical="top" wrapText="1"/>
    </xf>
    <xf numFmtId="167" fontId="8" fillId="0" borderId="1" xfId="0" applyNumberFormat="1" applyFont="1" applyBorder="1" applyAlignment="1">
      <alignment horizontal="right" vertical="top" wrapText="1"/>
    </xf>
    <xf numFmtId="0" fontId="7" fillId="0" borderId="1" xfId="0" applyFont="1" applyBorder="1" applyAlignment="1">
      <alignment horizontal="right" vertical="top" wrapText="1"/>
    </xf>
    <xf numFmtId="166" fontId="4" fillId="3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90"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5700"/>
      </font>
      <fill>
        <patternFill patternType="solid">
          <bgColor rgb="FFFFEB9C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5700"/>
      </font>
      <fill>
        <patternFill patternType="solid">
          <bgColor rgb="FFFFEB9C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5700"/>
      </font>
      <fill>
        <patternFill patternType="solid">
          <bgColor rgb="FFFFEB9C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5700"/>
      </font>
      <fill>
        <patternFill patternType="solid">
          <bgColor rgb="FFFFEB9C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5700"/>
      </font>
      <fill>
        <patternFill patternType="solid">
          <bgColor rgb="FFFFEB9C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5700"/>
      </font>
      <fill>
        <patternFill patternType="solid">
          <bgColor rgb="FFFFEB9C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5700"/>
      </font>
      <fill>
        <patternFill patternType="solid">
          <bgColor rgb="FFFFEB9C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5700"/>
      </font>
      <fill>
        <patternFill patternType="solid">
          <bgColor rgb="FFFFEB9C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5700"/>
      </font>
      <fill>
        <patternFill patternType="solid">
          <bgColor rgb="FFFFEB9C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5700"/>
      </font>
      <fill>
        <patternFill patternType="solid">
          <bgColor rgb="FFFFEB9C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5700"/>
      </font>
      <fill>
        <patternFill patternType="solid">
          <bgColor rgb="FFFFEB9C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5700"/>
      </font>
      <fill>
        <patternFill patternType="solid">
          <bgColor rgb="FFFFEB9C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5700"/>
      </font>
      <fill>
        <patternFill patternType="solid">
          <bgColor rgb="FFFFEB9C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5700"/>
      </font>
      <fill>
        <patternFill patternType="solid">
          <bgColor rgb="FFFFEB9C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5700"/>
      </font>
      <fill>
        <patternFill patternType="solid"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22A54"/>
    <pageSetUpPr fitToPage="1"/>
  </sheetPr>
  <dimension ref="B1:D57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44" customWidth="1"/>
    <col min="3" max="3" width="40" customWidth="1"/>
    <col min="4" max="4" width="72" customWidth="1"/>
  </cols>
  <sheetData>
    <row r="1" spans="2:2" x14ac:dyDescent="0.25">
      <c r="B1" s="1" t="s">
        <v>0</v>
      </c>
    </row>
    <row r="2" ht="30" customHeight="1" spans="2:4" x14ac:dyDescent="0.25">
      <c r="B2" s="2" t="s">
        <v>1</v>
      </c>
      <c r="C2" s="2"/>
      <c r="D2" s="2"/>
    </row>
    <row r="4" spans="2:4" x14ac:dyDescent="0.25">
      <c r="B4" s="3" t="s">
        <v>2</v>
      </c>
      <c r="C4" s="3"/>
      <c r="D4" s="3"/>
    </row>
    <row r="5" spans="2:4" x14ac:dyDescent="0.25">
      <c r="B5" s="4" t="s">
        <v>3</v>
      </c>
      <c r="C5" s="5">
        <v>1.1274</v>
      </c>
      <c r="D5" s="6" t="s">
        <v>4</v>
      </c>
    </row>
    <row r="6" spans="2:4" x14ac:dyDescent="0.25">
      <c r="B6" s="4" t="s">
        <v>5</v>
      </c>
      <c r="C6" s="7">
        <v>0.01</v>
      </c>
      <c r="D6" s="6" t="s">
        <v>6</v>
      </c>
    </row>
    <row r="7" spans="2:4" x14ac:dyDescent="0.25">
      <c r="B7" s="4" t="s">
        <v>7</v>
      </c>
      <c r="C7" s="8" t="s">
        <v>8</v>
      </c>
      <c r="D7" s="6" t="s">
        <v>9</v>
      </c>
    </row>
    <row r="8" spans="2:4" x14ac:dyDescent="0.25">
      <c r="B8" s="4" t="s">
        <v>10</v>
      </c>
      <c r="C8" s="9"/>
      <c r="D8" s="6" t="s">
        <v>11</v>
      </c>
    </row>
    <row r="9" spans="2:4" x14ac:dyDescent="0.25">
      <c r="B9" s="4" t="s">
        <v>12</v>
      </c>
      <c r="C9" s="9"/>
      <c r="D9" s="6"/>
    </row>
    <row r="10" spans="2:4" x14ac:dyDescent="0.25">
      <c r="B10" s="4" t="s">
        <v>13</v>
      </c>
      <c r="C10" s="9"/>
      <c r="D10" s="6"/>
    </row>
    <row r="12" spans="2:4" x14ac:dyDescent="0.25">
      <c r="B12" s="3" t="s">
        <v>14</v>
      </c>
      <c r="C12" s="3"/>
      <c r="D12" s="3"/>
    </row>
    <row r="13" spans="2:4" x14ac:dyDescent="0.25">
      <c r="B13" s="10" t="s">
        <v>15</v>
      </c>
      <c r="C13" s="4" t="s">
        <v>16</v>
      </c>
      <c r="D13" s="6" t="s">
        <v>17</v>
      </c>
    </row>
    <row r="14" spans="2:4" x14ac:dyDescent="0.25">
      <c r="B14" s="10" t="s">
        <v>18</v>
      </c>
      <c r="C14" s="4" t="s">
        <v>19</v>
      </c>
      <c r="D14" s="6" t="s">
        <v>20</v>
      </c>
    </row>
    <row r="15" spans="2:4" x14ac:dyDescent="0.25">
      <c r="B15" s="10" t="s">
        <v>21</v>
      </c>
      <c r="C15" s="4" t="s">
        <v>22</v>
      </c>
      <c r="D15" s="6" t="s">
        <v>23</v>
      </c>
    </row>
    <row r="16" spans="2:4" x14ac:dyDescent="0.25">
      <c r="B16" s="10" t="s">
        <v>24</v>
      </c>
      <c r="C16" s="4" t="s">
        <v>25</v>
      </c>
      <c r="D16" s="6" t="s">
        <v>26</v>
      </c>
    </row>
    <row r="17" spans="2:4" x14ac:dyDescent="0.25">
      <c r="B17" s="10" t="s">
        <v>27</v>
      </c>
      <c r="C17" s="4" t="s">
        <v>28</v>
      </c>
      <c r="D17" s="6" t="s">
        <v>29</v>
      </c>
    </row>
    <row r="18" spans="2:4" x14ac:dyDescent="0.25">
      <c r="B18" s="10" t="s">
        <v>30</v>
      </c>
      <c r="C18" s="4" t="s">
        <v>31</v>
      </c>
      <c r="D18" s="6" t="s">
        <v>32</v>
      </c>
    </row>
    <row r="20" spans="2:4" x14ac:dyDescent="0.25">
      <c r="B20" s="3" t="s">
        <v>33</v>
      </c>
      <c r="C20" s="3"/>
      <c r="D20" s="3"/>
    </row>
    <row r="21" spans="2:4" x14ac:dyDescent="0.25">
      <c r="B21" s="10" t="s">
        <v>34</v>
      </c>
      <c r="C21" s="4" t="s">
        <v>35</v>
      </c>
      <c r="D21" s="6" t="s">
        <v>36</v>
      </c>
    </row>
    <row r="23" spans="2:4" x14ac:dyDescent="0.25">
      <c r="B23" s="3" t="s">
        <v>37</v>
      </c>
      <c r="C23" s="3"/>
      <c r="D23" s="3"/>
    </row>
    <row r="24" spans="2:4" x14ac:dyDescent="0.25">
      <c r="B24" s="10" t="s">
        <v>38</v>
      </c>
      <c r="C24" s="4" t="s">
        <v>39</v>
      </c>
      <c r="D24" s="6" t="s">
        <v>40</v>
      </c>
    </row>
    <row r="25" spans="2:4" x14ac:dyDescent="0.25">
      <c r="B25" s="10" t="s">
        <v>41</v>
      </c>
      <c r="C25" s="4" t="s">
        <v>42</v>
      </c>
      <c r="D25" s="6" t="s">
        <v>43</v>
      </c>
    </row>
    <row r="26" spans="2:4" x14ac:dyDescent="0.25">
      <c r="B26" s="10" t="s">
        <v>44</v>
      </c>
      <c r="C26" s="4" t="s">
        <v>45</v>
      </c>
      <c r="D26" s="6" t="s">
        <v>46</v>
      </c>
    </row>
    <row r="27" spans="2:4" x14ac:dyDescent="0.25">
      <c r="B27" s="10" t="s">
        <v>47</v>
      </c>
      <c r="C27" s="4" t="s">
        <v>48</v>
      </c>
      <c r="D27" s="6" t="s">
        <v>49</v>
      </c>
    </row>
    <row r="29" spans="2:4" x14ac:dyDescent="0.25">
      <c r="B29" s="3" t="s">
        <v>50</v>
      </c>
      <c r="C29" s="3"/>
      <c r="D29" s="3"/>
    </row>
    <row r="30" spans="2:4" x14ac:dyDescent="0.25">
      <c r="B30" s="10" t="s">
        <v>51</v>
      </c>
      <c r="C30" s="4" t="s">
        <v>52</v>
      </c>
      <c r="D30" s="6" t="s">
        <v>53</v>
      </c>
    </row>
    <row r="31" spans="2:4" x14ac:dyDescent="0.25">
      <c r="B31" s="10" t="s">
        <v>54</v>
      </c>
      <c r="C31" s="4" t="s">
        <v>55</v>
      </c>
      <c r="D31" s="6" t="s">
        <v>56</v>
      </c>
    </row>
    <row r="32" spans="2:4" x14ac:dyDescent="0.25">
      <c r="B32" s="10" t="s">
        <v>57</v>
      </c>
      <c r="C32" s="4" t="s">
        <v>58</v>
      </c>
      <c r="D32" s="6" t="s">
        <v>59</v>
      </c>
    </row>
    <row r="34" spans="2:4" x14ac:dyDescent="0.25">
      <c r="B34" s="3" t="s">
        <v>60</v>
      </c>
      <c r="C34" s="3"/>
      <c r="D34" s="3"/>
    </row>
    <row r="35" spans="2:4" x14ac:dyDescent="0.25">
      <c r="B35" s="10" t="s">
        <v>61</v>
      </c>
      <c r="C35" s="4" t="s">
        <v>62</v>
      </c>
      <c r="D35" s="6"/>
    </row>
    <row r="36" spans="2:4" x14ac:dyDescent="0.25">
      <c r="B36" s="10" t="s">
        <v>63</v>
      </c>
      <c r="C36" s="4" t="s">
        <v>64</v>
      </c>
      <c r="D36" s="6" t="s">
        <v>65</v>
      </c>
    </row>
    <row r="37" spans="2:4" x14ac:dyDescent="0.25">
      <c r="B37" s="10" t="s">
        <v>66</v>
      </c>
      <c r="C37" s="4" t="s">
        <v>67</v>
      </c>
      <c r="D37" s="6"/>
    </row>
    <row r="38" spans="2:4" x14ac:dyDescent="0.25">
      <c r="B38" s="10" t="s">
        <v>68</v>
      </c>
      <c r="C38" s="4" t="s">
        <v>69</v>
      </c>
      <c r="D38" s="6" t="s">
        <v>70</v>
      </c>
    </row>
    <row r="39" spans="2:4" x14ac:dyDescent="0.25">
      <c r="B39" s="10" t="s">
        <v>71</v>
      </c>
      <c r="C39" s="4" t="s">
        <v>72</v>
      </c>
      <c r="D39" s="6" t="s">
        <v>73</v>
      </c>
    </row>
    <row r="40" spans="2:4" x14ac:dyDescent="0.25">
      <c r="B40" s="10" t="s">
        <v>74</v>
      </c>
      <c r="C40" s="4" t="s">
        <v>75</v>
      </c>
      <c r="D40" s="6"/>
    </row>
    <row r="41" spans="2:4" x14ac:dyDescent="0.25">
      <c r="B41" s="10" t="s">
        <v>76</v>
      </c>
      <c r="C41" s="4" t="s">
        <v>77</v>
      </c>
      <c r="D41" s="6" t="s">
        <v>78</v>
      </c>
    </row>
    <row r="42" spans="2:4" x14ac:dyDescent="0.25">
      <c r="B42" s="10" t="s">
        <v>79</v>
      </c>
      <c r="C42" s="4" t="s">
        <v>80</v>
      </c>
      <c r="D42" s="6" t="s">
        <v>81</v>
      </c>
    </row>
    <row r="44" spans="2:4" x14ac:dyDescent="0.25">
      <c r="B44" s="3" t="s">
        <v>82</v>
      </c>
      <c r="C44" s="3"/>
      <c r="D44" s="3"/>
    </row>
    <row r="45" spans="2:4" x14ac:dyDescent="0.25">
      <c r="B45" s="10" t="s">
        <v>83</v>
      </c>
      <c r="C45" s="4" t="s">
        <v>84</v>
      </c>
      <c r="D45" s="6" t="s">
        <v>85</v>
      </c>
    </row>
    <row r="46" spans="2:4" x14ac:dyDescent="0.25">
      <c r="B46" s="10" t="s">
        <v>86</v>
      </c>
      <c r="C46" s="4" t="s">
        <v>87</v>
      </c>
      <c r="D46" s="6"/>
    </row>
    <row r="47" spans="2:4" x14ac:dyDescent="0.25">
      <c r="B47" s="10" t="s">
        <v>88</v>
      </c>
      <c r="C47" s="4" t="s">
        <v>89</v>
      </c>
      <c r="D47" s="6" t="s">
        <v>90</v>
      </c>
    </row>
    <row r="48" spans="2:4" x14ac:dyDescent="0.25">
      <c r="B48" s="10" t="s">
        <v>91</v>
      </c>
      <c r="C48" s="4" t="s">
        <v>92</v>
      </c>
      <c r="D48" s="6"/>
    </row>
    <row r="49" spans="2:4" x14ac:dyDescent="0.25">
      <c r="B49" s="10" t="s">
        <v>93</v>
      </c>
      <c r="C49" s="4" t="s">
        <v>94</v>
      </c>
      <c r="D49" s="6" t="s">
        <v>95</v>
      </c>
    </row>
    <row r="50" spans="2:4" x14ac:dyDescent="0.25">
      <c r="B50" s="10" t="s">
        <v>96</v>
      </c>
      <c r="C50" s="4" t="s">
        <v>97</v>
      </c>
      <c r="D50" s="6"/>
    </row>
    <row r="52" spans="2:4" x14ac:dyDescent="0.25">
      <c r="B52" s="3" t="s">
        <v>98</v>
      </c>
      <c r="C52" s="3"/>
      <c r="D52" s="3"/>
    </row>
    <row r="53" spans="2:4" x14ac:dyDescent="0.25">
      <c r="B53" s="4" t="s">
        <v>99</v>
      </c>
      <c r="C53" s="11" t="s">
        <v>100</v>
      </c>
      <c r="D53" s="6"/>
    </row>
    <row r="54" spans="2:4" x14ac:dyDescent="0.25">
      <c r="B54" s="4" t="s">
        <v>101</v>
      </c>
      <c r="C54" s="12" t="s">
        <v>102</v>
      </c>
      <c r="D54" s="6"/>
    </row>
    <row r="55" spans="2:4" x14ac:dyDescent="0.25">
      <c r="B55" s="4" t="s">
        <v>103</v>
      </c>
      <c r="C55" s="13" t="s">
        <v>104</v>
      </c>
      <c r="D55" s="6"/>
    </row>
    <row r="56" spans="2:4" x14ac:dyDescent="0.25">
      <c r="B56" s="4" t="s">
        <v>105</v>
      </c>
      <c r="C56" s="14" t="s">
        <v>106</v>
      </c>
      <c r="D56" s="6"/>
    </row>
    <row r="57" spans="2:4" x14ac:dyDescent="0.25">
      <c r="B57" s="4" t="s">
        <v>107</v>
      </c>
      <c r="C57" s="15" t="s">
        <v>108</v>
      </c>
      <c r="D57" s="6"/>
    </row>
  </sheetData>
  <mergeCells count="1">
    <mergeCell ref="B2:D2"/>
  </mergeCells>
  <conditionalFormatting sqref="A1:D57">
    <cfRule type="cellIs" dxfId="0" priority="1" operator="equal">
      <formula>"PASS"</formula>
    </cfRule>
    <cfRule type="cellIs" dxfId="1" priority="2" operator="equal">
      <formula>"OK"</formula>
    </cfRule>
    <cfRule type="cellIs" dxfId="2" priority="3" operator="equal">
      <formula>"Covered"</formula>
    </cfRule>
    <cfRule type="cellIs" dxfId="3" priority="4" operator="equal">
      <formula>"FAIL"</formula>
    </cfRule>
    <cfRule type="cellIs" dxfId="4" priority="5" operator="equal">
      <formula>"CHECK"</formula>
    </cfRule>
    <cfRule type="cellIs" dxfId="5" priority="6" operator="equal">
      <formula>"GAP"</formula>
    </cfRule>
  </conditionalFormatting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22A54"/>
    <pageSetUpPr fitToPage="1"/>
  </sheetPr>
  <dimension ref="A1:J12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44" customWidth="1"/>
    <col min="3" max="3" width="28" customWidth="1"/>
    <col min="4" max="4" width="11" customWidth="1"/>
    <col min="5" max="5" width="12" customWidth="1"/>
    <col min="6" max="6" width="60" customWidth="1"/>
    <col min="7" max="8" width="10" customWidth="1"/>
    <col min="9" max="10" width="12" customWidth="1"/>
  </cols>
  <sheetData>
    <row r="1" spans="1:1" x14ac:dyDescent="0.25">
      <c r="A1" s="1" t="s">
        <v>109</v>
      </c>
    </row>
    <row r="2" spans="1:10" x14ac:dyDescent="0.25">
      <c r="A2" s="2" t="s">
        <v>110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16" t="s">
        <v>111</v>
      </c>
      <c r="B4" s="16" t="s">
        <v>112</v>
      </c>
      <c r="C4" s="16" t="s">
        <v>113</v>
      </c>
      <c r="D4" s="16" t="s">
        <v>114</v>
      </c>
      <c r="E4" s="16" t="s">
        <v>115</v>
      </c>
      <c r="F4" s="16" t="s">
        <v>116</v>
      </c>
      <c r="G4" s="16" t="s">
        <v>117</v>
      </c>
      <c r="H4" s="16" t="s">
        <v>118</v>
      </c>
      <c r="I4" s="16" t="s">
        <v>119</v>
      </c>
      <c r="J4" s="16" t="s">
        <v>120</v>
      </c>
    </row>
    <row r="5" spans="1:10" x14ac:dyDescent="0.25">
      <c r="A5" s="17" t="s">
        <v>121</v>
      </c>
      <c r="B5" s="10" t="s">
        <v>122</v>
      </c>
      <c r="C5" s="4" t="s">
        <v>123</v>
      </c>
      <c r="D5" s="17">
        <v>1</v>
      </c>
      <c r="E5" s="17">
        <v>0</v>
      </c>
      <c r="F5" s="6" t="s">
        <v>124</v>
      </c>
      <c r="G5" s="18">
        <v>20</v>
      </c>
      <c r="H5" s="18">
        <f>COUNTIFS(Steps!$A$5:$A$24,A5,Steps!$J$5:$J$24,"Pass")+COUNTIFS(Steps!$A$5:$A$24,A5,Steps!$J$5:$J$24,"Observe")</f>
        <v>0</v>
      </c>
      <c r="I5" s="19">
        <f>Emails!B5</f>
        <v>8</v>
      </c>
      <c r="J5" s="19">
        <f>Emails!C5</f>
        <v>0</v>
      </c>
    </row>
    <row r="6" spans="1:10" x14ac:dyDescent="0.25">
      <c r="A6" s="17" t="s">
        <v>125</v>
      </c>
      <c r="B6" s="10" t="s">
        <v>126</v>
      </c>
      <c r="C6" s="4" t="s">
        <v>127</v>
      </c>
      <c r="D6" s="17">
        <v>2</v>
      </c>
      <c r="E6" s="17">
        <v>1</v>
      </c>
      <c r="F6" s="6" t="s">
        <v>128</v>
      </c>
      <c r="G6" s="18">
        <v>17</v>
      </c>
      <c r="H6" s="18">
        <f>COUNTIFS(Steps!$A$25:$A$41,A6,Steps!$J$25:$J$41,"Pass")+COUNTIFS(Steps!$A$25:$A$41,A6,Steps!$J$25:$J$41,"Observe")</f>
        <v>0</v>
      </c>
      <c r="I6" s="19">
        <f>Emails!B6</f>
        <v>8</v>
      </c>
      <c r="J6" s="19">
        <f>Emails!C6</f>
        <v>0</v>
      </c>
    </row>
    <row r="7" spans="1:10" x14ac:dyDescent="0.25">
      <c r="A7" s="17" t="s">
        <v>129</v>
      </c>
      <c r="B7" s="10" t="s">
        <v>130</v>
      </c>
      <c r="C7" s="4" t="s">
        <v>131</v>
      </c>
      <c r="D7" s="17">
        <v>1</v>
      </c>
      <c r="E7" s="17">
        <v>1</v>
      </c>
      <c r="F7" s="6" t="s">
        <v>132</v>
      </c>
      <c r="G7" s="18">
        <v>13</v>
      </c>
      <c r="H7" s="18">
        <f>COUNTIFS(Steps!$A$42:$A$54,A7,Steps!$J$42:$J$54,"Pass")+COUNTIFS(Steps!$A$42:$A$54,A7,Steps!$J$42:$J$54,"Observe")</f>
        <v>0</v>
      </c>
      <c r="I7" s="19">
        <f>Emails!B7</f>
        <v>9</v>
      </c>
      <c r="J7" s="19">
        <f>Emails!C7</f>
        <v>0</v>
      </c>
    </row>
    <row r="8" spans="1:10" x14ac:dyDescent="0.25">
      <c r="A8" s="17" t="s">
        <v>133</v>
      </c>
      <c r="B8" s="10" t="s">
        <v>134</v>
      </c>
      <c r="C8" s="4" t="s">
        <v>135</v>
      </c>
      <c r="D8" s="17">
        <v>4</v>
      </c>
      <c r="E8" s="17">
        <v>2</v>
      </c>
      <c r="F8" s="6" t="s">
        <v>136</v>
      </c>
      <c r="G8" s="18">
        <v>11</v>
      </c>
      <c r="H8" s="18">
        <f>COUNTIFS(Steps!$A$55:$A$65,A8,Steps!$J$55:$J$65,"Pass")+COUNTIFS(Steps!$A$55:$A$65,A8,Steps!$J$55:$J$65,"Observe")</f>
        <v>0</v>
      </c>
      <c r="I8" s="19">
        <f>Emails!B8</f>
        <v>8</v>
      </c>
      <c r="J8" s="19">
        <f>Emails!C8</f>
        <v>0</v>
      </c>
    </row>
    <row r="9" spans="1:10" x14ac:dyDescent="0.25">
      <c r="A9" s="17" t="s">
        <v>137</v>
      </c>
      <c r="B9" s="10" t="s">
        <v>138</v>
      </c>
      <c r="C9" s="4" t="s">
        <v>139</v>
      </c>
      <c r="D9" s="17">
        <v>1</v>
      </c>
      <c r="E9" s="17">
        <v>1</v>
      </c>
      <c r="F9" s="6" t="s">
        <v>140</v>
      </c>
      <c r="G9" s="18">
        <v>8</v>
      </c>
      <c r="H9" s="18">
        <f>COUNTIFS(Steps!$A$66:$A$73,A9,Steps!$J$66:$J$73,"Pass")+COUNTIFS(Steps!$A$66:$A$73,A9,Steps!$J$66:$J$73,"Observe")</f>
        <v>0</v>
      </c>
      <c r="I9" s="19">
        <f>Emails!B9</f>
        <v>9</v>
      </c>
      <c r="J9" s="19">
        <f>Emails!C9</f>
        <v>0</v>
      </c>
    </row>
    <row r="10" spans="1:10" x14ac:dyDescent="0.25">
      <c r="A10" s="17" t="s">
        <v>141</v>
      </c>
      <c r="B10" s="10" t="s">
        <v>142</v>
      </c>
      <c r="C10" s="4" t="s">
        <v>143</v>
      </c>
      <c r="D10" s="17">
        <v>2</v>
      </c>
      <c r="E10" s="17">
        <v>1</v>
      </c>
      <c r="F10" s="6" t="s">
        <v>144</v>
      </c>
      <c r="G10" s="18">
        <v>15</v>
      </c>
      <c r="H10" s="18">
        <f>COUNTIFS(Steps!$A$74:$A$88,A10,Steps!$J$74:$J$88,"Pass")+COUNTIFS(Steps!$A$74:$A$88,A10,Steps!$J$74:$J$88,"Observe")</f>
        <v>0</v>
      </c>
      <c r="I10" s="19">
        <f>Emails!B10</f>
        <v>8</v>
      </c>
      <c r="J10" s="19">
        <f>Emails!C10</f>
        <v>0</v>
      </c>
    </row>
    <row r="11" spans="1:10" x14ac:dyDescent="0.25">
      <c r="A11" s="17" t="s">
        <v>145</v>
      </c>
      <c r="B11" s="10" t="s">
        <v>146</v>
      </c>
      <c r="C11" s="4" t="s">
        <v>147</v>
      </c>
      <c r="D11" s="17">
        <v>1</v>
      </c>
      <c r="E11" s="17">
        <v>0</v>
      </c>
      <c r="F11" s="6" t="s">
        <v>148</v>
      </c>
      <c r="G11" s="18">
        <v>13</v>
      </c>
      <c r="H11" s="18">
        <f>COUNTIFS(Steps!$A$89:$A$101,A11,Steps!$J$89:$J$101,"Pass")+COUNTIFS(Steps!$A$89:$A$101,A11,Steps!$J$89:$J$101,"Observe")</f>
        <v>0</v>
      </c>
      <c r="I11" s="19">
        <f>Emails!B11</f>
        <v>17</v>
      </c>
      <c r="J11" s="19">
        <f>Emails!C11</f>
        <v>0</v>
      </c>
    </row>
    <row r="12" spans="1:10" x14ac:dyDescent="0.25">
      <c r="A12" s="17" t="s">
        <v>149</v>
      </c>
      <c r="B12" s="10" t="s">
        <v>150</v>
      </c>
      <c r="C12" s="4" t="s">
        <v>147</v>
      </c>
      <c r="D12" s="17">
        <v>1</v>
      </c>
      <c r="E12" s="17">
        <v>0</v>
      </c>
      <c r="F12" s="6" t="s">
        <v>151</v>
      </c>
      <c r="G12" s="18">
        <v>13</v>
      </c>
      <c r="H12" s="18">
        <f>COUNTIFS(Steps!$A$102:$A$114,A12,Steps!$J$102:$J$114,"Pass")+COUNTIFS(Steps!$A$102:$A$114,A12,Steps!$J$102:$J$114,"Observe")</f>
        <v>0</v>
      </c>
      <c r="I12" s="19">
        <f>Emails!B12</f>
        <v>19</v>
      </c>
      <c r="J12" s="19">
        <f>Emails!C12</f>
        <v>0</v>
      </c>
    </row>
  </sheetData>
  <mergeCells count="1">
    <mergeCell ref="A2:J2"/>
  </mergeCells>
  <conditionalFormatting sqref="A1:J12">
    <cfRule type="cellIs" dxfId="6" priority="1" operator="equal">
      <formula>"PASS"</formula>
    </cfRule>
    <cfRule type="cellIs" dxfId="7" priority="2" operator="equal">
      <formula>"OK"</formula>
    </cfRule>
    <cfRule type="cellIs" dxfId="8" priority="3" operator="equal">
      <formula>"Covered"</formula>
    </cfRule>
    <cfRule type="cellIs" dxfId="9" priority="4" operator="equal">
      <formula>"FAIL"</formula>
    </cfRule>
    <cfRule type="cellIs" dxfId="10" priority="5" operator="equal">
      <formula>"CHECK"</formula>
    </cfRule>
    <cfRule type="cellIs" dxfId="11" priority="6" operator="equal">
      <formula>"GAP"</formula>
    </cfRule>
  </conditionalFormatting>
  <pageSetup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8F82"/>
    <pageSetUpPr fitToPage="1"/>
  </sheetPr>
  <dimension ref="A1:K114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2" max="2" width="6" customWidth="1"/>
    <col min="3" max="3" width="12" customWidth="1"/>
    <col min="4" max="4" width="11" customWidth="1"/>
    <col min="5" max="5" width="58" customWidth="1"/>
    <col min="6" max="6" width="20" customWidth="1"/>
    <col min="7" max="7" width="56" customWidth="1"/>
    <col min="8" max="8" width="8" customWidth="1"/>
    <col min="9" max="9" width="16" customWidth="1"/>
    <col min="10" max="10" width="12" customWidth="1"/>
    <col min="11" max="11" width="36" customWidth="1"/>
  </cols>
  <sheetData>
    <row r="1" spans="1:1" x14ac:dyDescent="0.25">
      <c r="A1" s="1" t="s">
        <v>152</v>
      </c>
    </row>
    <row r="2" spans="1:11" x14ac:dyDescent="0.25">
      <c r="A2" s="2" t="s">
        <v>153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spans="1:11" x14ac:dyDescent="0.25">
      <c r="A4" s="16" t="s">
        <v>112</v>
      </c>
      <c r="B4" s="16" t="s">
        <v>154</v>
      </c>
      <c r="C4" s="16" t="s">
        <v>155</v>
      </c>
      <c r="D4" s="16" t="s">
        <v>156</v>
      </c>
      <c r="E4" s="16" t="s">
        <v>157</v>
      </c>
      <c r="F4" s="16" t="s">
        <v>158</v>
      </c>
      <c r="G4" s="16" t="s">
        <v>159</v>
      </c>
      <c r="H4" s="16" t="s">
        <v>160</v>
      </c>
      <c r="I4" s="16" t="s">
        <v>161</v>
      </c>
      <c r="J4" s="16" t="s">
        <v>162</v>
      </c>
      <c r="K4" s="16" t="s">
        <v>163</v>
      </c>
    </row>
    <row r="5" spans="1:11" x14ac:dyDescent="0.25">
      <c r="A5" s="17" t="s">
        <v>121</v>
      </c>
      <c r="B5" s="17">
        <v>1</v>
      </c>
      <c r="C5" s="17" t="s">
        <v>164</v>
      </c>
      <c r="D5" s="17" t="s">
        <v>121</v>
      </c>
      <c r="E5" s="4" t="s">
        <v>165</v>
      </c>
      <c r="F5" s="6" t="s">
        <v>166</v>
      </c>
      <c r="G5" s="4" t="s">
        <v>167</v>
      </c>
      <c r="H5" s="17">
        <v>0</v>
      </c>
      <c r="I5" s="6"/>
      <c r="J5" s="9"/>
      <c r="K5" s="9"/>
    </row>
    <row r="6" spans="1:11" x14ac:dyDescent="0.25">
      <c r="A6" s="17" t="s">
        <v>121</v>
      </c>
      <c r="B6" s="17">
        <v>2</v>
      </c>
      <c r="C6" s="17" t="s">
        <v>164</v>
      </c>
      <c r="D6" s="17" t="s">
        <v>121</v>
      </c>
      <c r="E6" s="4" t="s">
        <v>168</v>
      </c>
      <c r="F6" s="6" t="s">
        <v>169</v>
      </c>
      <c r="G6" s="4" t="s">
        <v>170</v>
      </c>
      <c r="H6" s="17">
        <v>0</v>
      </c>
      <c r="I6" s="6"/>
      <c r="J6" s="9"/>
      <c r="K6" s="9"/>
    </row>
    <row r="7" spans="1:11" x14ac:dyDescent="0.25">
      <c r="A7" s="17" t="s">
        <v>121</v>
      </c>
      <c r="B7" s="17">
        <v>3</v>
      </c>
      <c r="C7" s="17" t="s">
        <v>164</v>
      </c>
      <c r="D7" s="17" t="s">
        <v>121</v>
      </c>
      <c r="E7" s="4" t="s">
        <v>171</v>
      </c>
      <c r="F7" s="6" t="s">
        <v>172</v>
      </c>
      <c r="G7" s="4" t="s">
        <v>173</v>
      </c>
      <c r="H7" s="17">
        <v>0</v>
      </c>
      <c r="I7" s="6"/>
      <c r="J7" s="9"/>
      <c r="K7" s="9"/>
    </row>
    <row r="8" spans="1:11" x14ac:dyDescent="0.25">
      <c r="A8" s="17" t="s">
        <v>121</v>
      </c>
      <c r="B8" s="17">
        <v>4</v>
      </c>
      <c r="C8" s="17" t="s">
        <v>164</v>
      </c>
      <c r="D8" s="17" t="s">
        <v>121</v>
      </c>
      <c r="E8" s="4" t="s">
        <v>174</v>
      </c>
      <c r="F8" s="6" t="s">
        <v>175</v>
      </c>
      <c r="G8" s="4" t="s">
        <v>176</v>
      </c>
      <c r="H8" s="17">
        <v>0</v>
      </c>
      <c r="I8" s="6"/>
      <c r="J8" s="9"/>
      <c r="K8" s="9"/>
    </row>
    <row r="9" spans="1:11" x14ac:dyDescent="0.25">
      <c r="A9" s="17" t="s">
        <v>121</v>
      </c>
      <c r="B9" s="17">
        <v>5</v>
      </c>
      <c r="C9" s="17" t="s">
        <v>164</v>
      </c>
      <c r="D9" s="17" t="s">
        <v>121</v>
      </c>
      <c r="E9" s="4" t="s">
        <v>177</v>
      </c>
      <c r="F9" s="6" t="s">
        <v>178</v>
      </c>
      <c r="G9" s="4" t="s">
        <v>179</v>
      </c>
      <c r="H9" s="17">
        <v>0</v>
      </c>
      <c r="I9" s="6"/>
      <c r="J9" s="9"/>
      <c r="K9" s="9"/>
    </row>
    <row r="10" spans="1:11" x14ac:dyDescent="0.25">
      <c r="A10" s="17" t="s">
        <v>121</v>
      </c>
      <c r="B10" s="17">
        <v>6</v>
      </c>
      <c r="C10" s="17" t="s">
        <v>164</v>
      </c>
      <c r="D10" s="17" t="s">
        <v>121</v>
      </c>
      <c r="E10" s="4" t="s">
        <v>180</v>
      </c>
      <c r="F10" s="6" t="s">
        <v>181</v>
      </c>
      <c r="G10" s="4" t="s">
        <v>182</v>
      </c>
      <c r="H10" s="17">
        <v>2</v>
      </c>
      <c r="I10" s="6" t="s">
        <v>183</v>
      </c>
      <c r="J10" s="9"/>
      <c r="K10" s="9"/>
    </row>
    <row r="11" spans="1:11" x14ac:dyDescent="0.25">
      <c r="A11" s="17" t="s">
        <v>121</v>
      </c>
      <c r="B11" s="17">
        <v>7</v>
      </c>
      <c r="C11" s="17" t="s">
        <v>184</v>
      </c>
      <c r="D11" s="17" t="s">
        <v>121</v>
      </c>
      <c r="E11" s="4" t="s">
        <v>185</v>
      </c>
      <c r="F11" s="6" t="s">
        <v>186</v>
      </c>
      <c r="G11" s="4" t="s">
        <v>187</v>
      </c>
      <c r="H11" s="17">
        <v>0</v>
      </c>
      <c r="I11" s="6"/>
      <c r="J11" s="9"/>
      <c r="K11" s="9"/>
    </row>
    <row r="12" spans="1:11" x14ac:dyDescent="0.25">
      <c r="A12" s="17" t="s">
        <v>121</v>
      </c>
      <c r="B12" s="17">
        <v>8</v>
      </c>
      <c r="C12" s="17" t="s">
        <v>184</v>
      </c>
      <c r="D12" s="17" t="s">
        <v>121</v>
      </c>
      <c r="E12" s="4" t="s">
        <v>188</v>
      </c>
      <c r="F12" s="6" t="s">
        <v>189</v>
      </c>
      <c r="G12" s="4" t="s">
        <v>190</v>
      </c>
      <c r="H12" s="17">
        <v>0</v>
      </c>
      <c r="I12" s="6"/>
      <c r="J12" s="9"/>
      <c r="K12" s="9"/>
    </row>
    <row r="13" spans="1:11" x14ac:dyDescent="0.25">
      <c r="A13" s="17" t="s">
        <v>121</v>
      </c>
      <c r="B13" s="17">
        <v>9</v>
      </c>
      <c r="C13" s="17" t="s">
        <v>184</v>
      </c>
      <c r="D13" s="17" t="s">
        <v>121</v>
      </c>
      <c r="E13" s="4" t="s">
        <v>191</v>
      </c>
      <c r="F13" s="6" t="s">
        <v>192</v>
      </c>
      <c r="G13" s="4" t="s">
        <v>193</v>
      </c>
      <c r="H13" s="17">
        <v>2</v>
      </c>
      <c r="I13" s="6" t="s">
        <v>194</v>
      </c>
      <c r="J13" s="9"/>
      <c r="K13" s="9"/>
    </row>
    <row r="14" spans="1:11" x14ac:dyDescent="0.25">
      <c r="A14" s="17" t="s">
        <v>121</v>
      </c>
      <c r="B14" s="17">
        <v>10</v>
      </c>
      <c r="C14" s="17" t="s">
        <v>195</v>
      </c>
      <c r="D14" s="17" t="s">
        <v>121</v>
      </c>
      <c r="E14" s="4" t="s">
        <v>196</v>
      </c>
      <c r="F14" s="6" t="s">
        <v>197</v>
      </c>
      <c r="G14" s="4" t="s">
        <v>198</v>
      </c>
      <c r="H14" s="17">
        <v>0</v>
      </c>
      <c r="I14" s="6"/>
      <c r="J14" s="9"/>
      <c r="K14" s="9"/>
    </row>
    <row r="15" spans="1:11" x14ac:dyDescent="0.25">
      <c r="A15" s="17" t="s">
        <v>121</v>
      </c>
      <c r="B15" s="17">
        <v>11</v>
      </c>
      <c r="C15" s="17" t="s">
        <v>195</v>
      </c>
      <c r="D15" s="17" t="s">
        <v>121</v>
      </c>
      <c r="E15" s="4" t="s">
        <v>199</v>
      </c>
      <c r="F15" s="6" t="s">
        <v>200</v>
      </c>
      <c r="G15" s="4" t="s">
        <v>201</v>
      </c>
      <c r="H15" s="17">
        <v>1</v>
      </c>
      <c r="I15" s="6" t="s">
        <v>202</v>
      </c>
      <c r="J15" s="9"/>
      <c r="K15" s="9"/>
    </row>
    <row r="16" spans="1:11" x14ac:dyDescent="0.25">
      <c r="A16" s="17" t="s">
        <v>121</v>
      </c>
      <c r="B16" s="17">
        <v>12</v>
      </c>
      <c r="C16" s="17" t="s">
        <v>164</v>
      </c>
      <c r="D16" s="17" t="s">
        <v>121</v>
      </c>
      <c r="E16" s="4" t="s">
        <v>203</v>
      </c>
      <c r="F16" s="6" t="s">
        <v>204</v>
      </c>
      <c r="G16" s="4" t="s">
        <v>205</v>
      </c>
      <c r="H16" s="17">
        <v>0</v>
      </c>
      <c r="I16" s="6"/>
      <c r="J16" s="9"/>
      <c r="K16" s="9"/>
    </row>
    <row r="17" spans="1:11" x14ac:dyDescent="0.25">
      <c r="A17" s="17" t="s">
        <v>121</v>
      </c>
      <c r="B17" s="17">
        <v>13</v>
      </c>
      <c r="C17" s="17" t="s">
        <v>164</v>
      </c>
      <c r="D17" s="17" t="s">
        <v>121</v>
      </c>
      <c r="E17" s="4" t="s">
        <v>206</v>
      </c>
      <c r="F17" s="6" t="s">
        <v>207</v>
      </c>
      <c r="G17" s="4" t="s">
        <v>208</v>
      </c>
      <c r="H17" s="17">
        <v>0</v>
      </c>
      <c r="I17" s="6"/>
      <c r="J17" s="9"/>
      <c r="K17" s="9"/>
    </row>
    <row r="18" spans="1:11" x14ac:dyDescent="0.25">
      <c r="A18" s="17" t="s">
        <v>121</v>
      </c>
      <c r="B18" s="17">
        <v>14</v>
      </c>
      <c r="C18" s="17" t="s">
        <v>164</v>
      </c>
      <c r="D18" s="17" t="s">
        <v>121</v>
      </c>
      <c r="E18" s="4" t="s">
        <v>209</v>
      </c>
      <c r="F18" s="6" t="s">
        <v>210</v>
      </c>
      <c r="G18" s="4" t="s">
        <v>211</v>
      </c>
      <c r="H18" s="17">
        <v>0</v>
      </c>
      <c r="I18" s="6"/>
      <c r="J18" s="9"/>
      <c r="K18" s="9"/>
    </row>
    <row r="19" spans="1:11" x14ac:dyDescent="0.25">
      <c r="A19" s="17" t="s">
        <v>121</v>
      </c>
      <c r="B19" s="17">
        <v>15</v>
      </c>
      <c r="C19" s="17" t="s">
        <v>164</v>
      </c>
      <c r="D19" s="17" t="s">
        <v>121</v>
      </c>
      <c r="E19" s="4" t="s">
        <v>212</v>
      </c>
      <c r="F19" s="6" t="s">
        <v>213</v>
      </c>
      <c r="G19" s="4" t="s">
        <v>214</v>
      </c>
      <c r="H19" s="17">
        <v>0</v>
      </c>
      <c r="I19" s="6"/>
      <c r="J19" s="9"/>
      <c r="K19" s="9"/>
    </row>
    <row r="20" spans="1:11" x14ac:dyDescent="0.25">
      <c r="A20" s="17" t="s">
        <v>121</v>
      </c>
      <c r="B20" s="17">
        <v>16</v>
      </c>
      <c r="C20" s="17" t="s">
        <v>164</v>
      </c>
      <c r="D20" s="17" t="s">
        <v>121</v>
      </c>
      <c r="E20" s="4" t="s">
        <v>215</v>
      </c>
      <c r="F20" s="6" t="s">
        <v>216</v>
      </c>
      <c r="G20" s="4" t="s">
        <v>217</v>
      </c>
      <c r="H20" s="17">
        <v>0</v>
      </c>
      <c r="I20" s="6"/>
      <c r="J20" s="9"/>
      <c r="K20" s="9"/>
    </row>
    <row r="21" spans="1:11" x14ac:dyDescent="0.25">
      <c r="A21" s="17" t="s">
        <v>121</v>
      </c>
      <c r="B21" s="17">
        <v>17</v>
      </c>
      <c r="C21" s="17" t="s">
        <v>164</v>
      </c>
      <c r="D21" s="17" t="s">
        <v>121</v>
      </c>
      <c r="E21" s="4" t="s">
        <v>218</v>
      </c>
      <c r="F21" s="6" t="s">
        <v>219</v>
      </c>
      <c r="G21" s="4" t="s">
        <v>220</v>
      </c>
      <c r="H21" s="17">
        <v>2</v>
      </c>
      <c r="I21" s="6" t="s">
        <v>221</v>
      </c>
      <c r="J21" s="9"/>
      <c r="K21" s="9"/>
    </row>
    <row r="22" spans="1:11" x14ac:dyDescent="0.25">
      <c r="A22" s="17" t="s">
        <v>121</v>
      </c>
      <c r="B22" s="17">
        <v>18</v>
      </c>
      <c r="C22" s="17" t="s">
        <v>184</v>
      </c>
      <c r="D22" s="17" t="s">
        <v>121</v>
      </c>
      <c r="E22" s="4" t="s">
        <v>222</v>
      </c>
      <c r="F22" s="6" t="s">
        <v>223</v>
      </c>
      <c r="G22" s="4" t="s">
        <v>224</v>
      </c>
      <c r="H22" s="17">
        <v>0</v>
      </c>
      <c r="I22" s="6"/>
      <c r="J22" s="9"/>
      <c r="K22" s="9"/>
    </row>
    <row r="23" spans="1:11" x14ac:dyDescent="0.25">
      <c r="A23" s="17" t="s">
        <v>121</v>
      </c>
      <c r="B23" s="17">
        <v>19</v>
      </c>
      <c r="C23" s="17" t="s">
        <v>184</v>
      </c>
      <c r="D23" s="17" t="s">
        <v>121</v>
      </c>
      <c r="E23" s="4" t="s">
        <v>225</v>
      </c>
      <c r="F23" s="6" t="s">
        <v>226</v>
      </c>
      <c r="G23" s="4" t="s">
        <v>227</v>
      </c>
      <c r="H23" s="17">
        <v>1</v>
      </c>
      <c r="I23" s="6" t="s">
        <v>228</v>
      </c>
      <c r="J23" s="9"/>
      <c r="K23" s="9"/>
    </row>
    <row r="24" spans="1:11" x14ac:dyDescent="0.25">
      <c r="A24" s="17" t="s">
        <v>121</v>
      </c>
      <c r="B24" s="17">
        <v>20</v>
      </c>
      <c r="C24" s="17" t="s">
        <v>164</v>
      </c>
      <c r="D24" s="17" t="s">
        <v>121</v>
      </c>
      <c r="E24" s="4" t="s">
        <v>229</v>
      </c>
      <c r="F24" s="6" t="s">
        <v>230</v>
      </c>
      <c r="G24" s="4" t="s">
        <v>231</v>
      </c>
      <c r="H24" s="17">
        <v>0</v>
      </c>
      <c r="I24" s="6"/>
      <c r="J24" s="9"/>
      <c r="K24" s="9"/>
    </row>
    <row r="25" spans="1:11" x14ac:dyDescent="0.25">
      <c r="A25" s="17" t="s">
        <v>125</v>
      </c>
      <c r="B25" s="17">
        <v>1</v>
      </c>
      <c r="C25" s="17" t="s">
        <v>164</v>
      </c>
      <c r="D25" s="17" t="s">
        <v>125</v>
      </c>
      <c r="E25" s="4" t="s">
        <v>232</v>
      </c>
      <c r="F25" s="6" t="s">
        <v>233</v>
      </c>
      <c r="G25" s="4" t="s">
        <v>234</v>
      </c>
      <c r="H25" s="17">
        <v>0</v>
      </c>
      <c r="I25" s="6"/>
      <c r="J25" s="9"/>
      <c r="K25" s="9"/>
    </row>
    <row r="26" spans="1:11" x14ac:dyDescent="0.25">
      <c r="A26" s="17" t="s">
        <v>125</v>
      </c>
      <c r="B26" s="17">
        <v>2</v>
      </c>
      <c r="C26" s="17" t="s">
        <v>164</v>
      </c>
      <c r="D26" s="17" t="s">
        <v>125</v>
      </c>
      <c r="E26" s="4" t="s">
        <v>235</v>
      </c>
      <c r="F26" s="6" t="s">
        <v>236</v>
      </c>
      <c r="G26" s="4" t="s">
        <v>237</v>
      </c>
      <c r="H26" s="17">
        <v>0</v>
      </c>
      <c r="I26" s="6"/>
      <c r="J26" s="9"/>
      <c r="K26" s="9"/>
    </row>
    <row r="27" spans="1:11" x14ac:dyDescent="0.25">
      <c r="A27" s="17" t="s">
        <v>125</v>
      </c>
      <c r="B27" s="17">
        <v>3</v>
      </c>
      <c r="C27" s="17" t="s">
        <v>164</v>
      </c>
      <c r="D27" s="17" t="s">
        <v>125</v>
      </c>
      <c r="E27" s="4" t="s">
        <v>238</v>
      </c>
      <c r="F27" s="6" t="s">
        <v>239</v>
      </c>
      <c r="G27" s="4" t="s">
        <v>240</v>
      </c>
      <c r="H27" s="17">
        <v>0</v>
      </c>
      <c r="I27" s="6"/>
      <c r="J27" s="9"/>
      <c r="K27" s="9"/>
    </row>
    <row r="28" spans="1:11" x14ac:dyDescent="0.25">
      <c r="A28" s="17" t="s">
        <v>125</v>
      </c>
      <c r="B28" s="17">
        <v>4</v>
      </c>
      <c r="C28" s="17" t="s">
        <v>164</v>
      </c>
      <c r="D28" s="17" t="s">
        <v>125</v>
      </c>
      <c r="E28" s="4" t="s">
        <v>241</v>
      </c>
      <c r="F28" s="6" t="s">
        <v>181</v>
      </c>
      <c r="G28" s="4" t="s">
        <v>242</v>
      </c>
      <c r="H28" s="17">
        <v>2</v>
      </c>
      <c r="I28" s="6" t="s">
        <v>243</v>
      </c>
      <c r="J28" s="9"/>
      <c r="K28" s="9"/>
    </row>
    <row r="29" spans="1:11" x14ac:dyDescent="0.25">
      <c r="A29" s="17" t="s">
        <v>125</v>
      </c>
      <c r="B29" s="17">
        <v>5</v>
      </c>
      <c r="C29" s="17" t="s">
        <v>184</v>
      </c>
      <c r="D29" s="17" t="s">
        <v>125</v>
      </c>
      <c r="E29" s="4" t="s">
        <v>244</v>
      </c>
      <c r="F29" s="6" t="s">
        <v>245</v>
      </c>
      <c r="G29" s="4" t="s">
        <v>246</v>
      </c>
      <c r="H29" s="17">
        <v>0</v>
      </c>
      <c r="I29" s="6"/>
      <c r="J29" s="9"/>
      <c r="K29" s="9"/>
    </row>
    <row r="30" spans="1:11" x14ac:dyDescent="0.25">
      <c r="A30" s="17" t="s">
        <v>125</v>
      </c>
      <c r="B30" s="17">
        <v>6</v>
      </c>
      <c r="C30" s="17" t="s">
        <v>184</v>
      </c>
      <c r="D30" s="17" t="s">
        <v>125</v>
      </c>
      <c r="E30" s="4" t="s">
        <v>247</v>
      </c>
      <c r="F30" s="6" t="s">
        <v>189</v>
      </c>
      <c r="G30" s="4" t="s">
        <v>248</v>
      </c>
      <c r="H30" s="17">
        <v>0</v>
      </c>
      <c r="I30" s="6"/>
      <c r="J30" s="9"/>
      <c r="K30" s="9"/>
    </row>
    <row r="31" spans="1:11" x14ac:dyDescent="0.25">
      <c r="A31" s="17" t="s">
        <v>125</v>
      </c>
      <c r="B31" s="17">
        <v>7</v>
      </c>
      <c r="C31" s="17" t="s">
        <v>184</v>
      </c>
      <c r="D31" s="17" t="s">
        <v>125</v>
      </c>
      <c r="E31" s="4" t="s">
        <v>249</v>
      </c>
      <c r="F31" s="6" t="s">
        <v>192</v>
      </c>
      <c r="G31" s="4" t="s">
        <v>250</v>
      </c>
      <c r="H31" s="17">
        <v>2</v>
      </c>
      <c r="I31" s="6" t="s">
        <v>251</v>
      </c>
      <c r="J31" s="9"/>
      <c r="K31" s="9"/>
    </row>
    <row r="32" spans="1:11" x14ac:dyDescent="0.25">
      <c r="A32" s="17" t="s">
        <v>125</v>
      </c>
      <c r="B32" s="17">
        <v>8</v>
      </c>
      <c r="C32" s="17" t="s">
        <v>195</v>
      </c>
      <c r="D32" s="17" t="s">
        <v>125</v>
      </c>
      <c r="E32" s="4" t="s">
        <v>252</v>
      </c>
      <c r="F32" s="6" t="s">
        <v>253</v>
      </c>
      <c r="G32" s="4" t="s">
        <v>254</v>
      </c>
      <c r="H32" s="17">
        <v>1</v>
      </c>
      <c r="I32" s="6" t="s">
        <v>255</v>
      </c>
      <c r="J32" s="9"/>
      <c r="K32" s="9"/>
    </row>
    <row r="33" spans="1:11" x14ac:dyDescent="0.25">
      <c r="A33" s="17" t="s">
        <v>125</v>
      </c>
      <c r="B33" s="17">
        <v>9</v>
      </c>
      <c r="C33" s="17" t="s">
        <v>164</v>
      </c>
      <c r="D33" s="17" t="s">
        <v>125</v>
      </c>
      <c r="E33" s="4" t="s">
        <v>256</v>
      </c>
      <c r="F33" s="6" t="s">
        <v>257</v>
      </c>
      <c r="G33" s="4" t="s">
        <v>258</v>
      </c>
      <c r="H33" s="17">
        <v>0</v>
      </c>
      <c r="I33" s="6"/>
      <c r="J33" s="9"/>
      <c r="K33" s="9"/>
    </row>
    <row r="34" spans="1:11" x14ac:dyDescent="0.25">
      <c r="A34" s="17" t="s">
        <v>125</v>
      </c>
      <c r="B34" s="17">
        <v>10</v>
      </c>
      <c r="C34" s="17" t="s">
        <v>164</v>
      </c>
      <c r="D34" s="17" t="s">
        <v>125</v>
      </c>
      <c r="E34" s="4" t="s">
        <v>259</v>
      </c>
      <c r="F34" s="6" t="s">
        <v>260</v>
      </c>
      <c r="G34" s="4" t="s">
        <v>261</v>
      </c>
      <c r="H34" s="17">
        <v>0</v>
      </c>
      <c r="I34" s="6"/>
      <c r="J34" s="9"/>
      <c r="K34" s="9"/>
    </row>
    <row r="35" spans="1:11" x14ac:dyDescent="0.25">
      <c r="A35" s="17" t="s">
        <v>125</v>
      </c>
      <c r="B35" s="17">
        <v>11</v>
      </c>
      <c r="C35" s="17" t="s">
        <v>164</v>
      </c>
      <c r="D35" s="17" t="s">
        <v>125</v>
      </c>
      <c r="E35" s="4" t="s">
        <v>262</v>
      </c>
      <c r="F35" s="6" t="s">
        <v>263</v>
      </c>
      <c r="G35" s="4" t="s">
        <v>264</v>
      </c>
      <c r="H35" s="17">
        <v>0</v>
      </c>
      <c r="I35" s="6"/>
      <c r="J35" s="9"/>
      <c r="K35" s="9"/>
    </row>
    <row r="36" spans="1:11" x14ac:dyDescent="0.25">
      <c r="A36" s="17" t="s">
        <v>125</v>
      </c>
      <c r="B36" s="17">
        <v>12</v>
      </c>
      <c r="C36" s="17" t="s">
        <v>164</v>
      </c>
      <c r="D36" s="17" t="s">
        <v>125</v>
      </c>
      <c r="E36" s="4" t="s">
        <v>265</v>
      </c>
      <c r="F36" s="6" t="s">
        <v>219</v>
      </c>
      <c r="G36" s="4" t="s">
        <v>266</v>
      </c>
      <c r="H36" s="17">
        <v>0</v>
      </c>
      <c r="I36" s="6"/>
      <c r="J36" s="9"/>
      <c r="K36" s="9"/>
    </row>
    <row r="37" spans="1:11" x14ac:dyDescent="0.25">
      <c r="A37" s="17" t="s">
        <v>125</v>
      </c>
      <c r="B37" s="17">
        <v>13</v>
      </c>
      <c r="C37" s="17" t="s">
        <v>164</v>
      </c>
      <c r="D37" s="17" t="s">
        <v>125</v>
      </c>
      <c r="E37" s="4" t="s">
        <v>267</v>
      </c>
      <c r="F37" s="6" t="s">
        <v>268</v>
      </c>
      <c r="G37" s="4" t="s">
        <v>269</v>
      </c>
      <c r="H37" s="17">
        <v>0</v>
      </c>
      <c r="I37" s="6"/>
      <c r="J37" s="9"/>
      <c r="K37" s="9"/>
    </row>
    <row r="38" spans="1:11" x14ac:dyDescent="0.25">
      <c r="A38" s="17" t="s">
        <v>125</v>
      </c>
      <c r="B38" s="17">
        <v>14</v>
      </c>
      <c r="C38" s="17" t="s">
        <v>164</v>
      </c>
      <c r="D38" s="17" t="s">
        <v>125</v>
      </c>
      <c r="E38" s="4" t="s">
        <v>270</v>
      </c>
      <c r="F38" s="6" t="s">
        <v>271</v>
      </c>
      <c r="G38" s="4" t="s">
        <v>272</v>
      </c>
      <c r="H38" s="17">
        <v>0</v>
      </c>
      <c r="I38" s="6"/>
      <c r="J38" s="9"/>
      <c r="K38" s="9"/>
    </row>
    <row r="39" spans="1:11" x14ac:dyDescent="0.25">
      <c r="A39" s="17" t="s">
        <v>125</v>
      </c>
      <c r="B39" s="17">
        <v>15</v>
      </c>
      <c r="C39" s="17" t="s">
        <v>164</v>
      </c>
      <c r="D39" s="17" t="s">
        <v>125</v>
      </c>
      <c r="E39" s="4" t="s">
        <v>273</v>
      </c>
      <c r="F39" s="6" t="s">
        <v>274</v>
      </c>
      <c r="G39" s="4" t="s">
        <v>275</v>
      </c>
      <c r="H39" s="17">
        <v>2</v>
      </c>
      <c r="I39" s="6" t="s">
        <v>276</v>
      </c>
      <c r="J39" s="9"/>
      <c r="K39" s="9"/>
    </row>
    <row r="40" spans="1:11" x14ac:dyDescent="0.25">
      <c r="A40" s="17" t="s">
        <v>125</v>
      </c>
      <c r="B40" s="17">
        <v>16</v>
      </c>
      <c r="C40" s="17" t="s">
        <v>184</v>
      </c>
      <c r="D40" s="17" t="s">
        <v>125</v>
      </c>
      <c r="E40" s="4" t="s">
        <v>277</v>
      </c>
      <c r="F40" s="6" t="s">
        <v>223</v>
      </c>
      <c r="G40" s="4" t="s">
        <v>278</v>
      </c>
      <c r="H40" s="17">
        <v>0</v>
      </c>
      <c r="I40" s="6"/>
      <c r="J40" s="9"/>
      <c r="K40" s="9"/>
    </row>
    <row r="41" spans="1:11" x14ac:dyDescent="0.25">
      <c r="A41" s="17" t="s">
        <v>125</v>
      </c>
      <c r="B41" s="17">
        <v>17</v>
      </c>
      <c r="C41" s="17" t="s">
        <v>184</v>
      </c>
      <c r="D41" s="17" t="s">
        <v>125</v>
      </c>
      <c r="E41" s="4" t="s">
        <v>279</v>
      </c>
      <c r="F41" s="6" t="s">
        <v>226</v>
      </c>
      <c r="G41" s="4" t="s">
        <v>280</v>
      </c>
      <c r="H41" s="17">
        <v>1</v>
      </c>
      <c r="I41" s="6" t="s">
        <v>281</v>
      </c>
      <c r="J41" s="9"/>
      <c r="K41" s="9"/>
    </row>
    <row r="42" spans="1:11" x14ac:dyDescent="0.25">
      <c r="A42" s="17" t="s">
        <v>129</v>
      </c>
      <c r="B42" s="17">
        <v>1</v>
      </c>
      <c r="C42" s="17" t="s">
        <v>164</v>
      </c>
      <c r="D42" s="17" t="s">
        <v>282</v>
      </c>
      <c r="E42" s="4" t="s">
        <v>283</v>
      </c>
      <c r="F42" s="6" t="s">
        <v>284</v>
      </c>
      <c r="G42" s="4" t="s">
        <v>285</v>
      </c>
      <c r="H42" s="17">
        <v>0</v>
      </c>
      <c r="I42" s="6"/>
      <c r="J42" s="9"/>
      <c r="K42" s="9"/>
    </row>
    <row r="43" spans="1:11" x14ac:dyDescent="0.25">
      <c r="A43" s="17" t="s">
        <v>129</v>
      </c>
      <c r="B43" s="17">
        <v>2</v>
      </c>
      <c r="C43" s="17" t="s">
        <v>164</v>
      </c>
      <c r="D43" s="17" t="s">
        <v>282</v>
      </c>
      <c r="E43" s="4" t="s">
        <v>286</v>
      </c>
      <c r="F43" s="6" t="s">
        <v>287</v>
      </c>
      <c r="G43" s="4" t="s">
        <v>288</v>
      </c>
      <c r="H43" s="17">
        <v>0</v>
      </c>
      <c r="I43" s="6"/>
      <c r="J43" s="9"/>
      <c r="K43" s="9"/>
    </row>
    <row r="44" spans="1:11" x14ac:dyDescent="0.25">
      <c r="A44" s="17" t="s">
        <v>129</v>
      </c>
      <c r="B44" s="17">
        <v>3</v>
      </c>
      <c r="C44" s="17" t="s">
        <v>164</v>
      </c>
      <c r="D44" s="17" t="s">
        <v>282</v>
      </c>
      <c r="E44" s="4" t="s">
        <v>289</v>
      </c>
      <c r="F44" s="6" t="s">
        <v>290</v>
      </c>
      <c r="G44" s="4" t="s">
        <v>291</v>
      </c>
      <c r="H44" s="17">
        <v>2</v>
      </c>
      <c r="I44" s="6" t="s">
        <v>292</v>
      </c>
      <c r="J44" s="9"/>
      <c r="K44" s="9"/>
    </row>
    <row r="45" spans="1:11" x14ac:dyDescent="0.25">
      <c r="A45" s="17" t="s">
        <v>129</v>
      </c>
      <c r="B45" s="17">
        <v>4</v>
      </c>
      <c r="C45" s="17" t="s">
        <v>184</v>
      </c>
      <c r="D45" s="17" t="s">
        <v>282</v>
      </c>
      <c r="E45" s="4" t="s">
        <v>293</v>
      </c>
      <c r="F45" s="6" t="s">
        <v>294</v>
      </c>
      <c r="G45" s="4" t="s">
        <v>295</v>
      </c>
      <c r="H45" s="17">
        <v>2</v>
      </c>
      <c r="I45" s="6" t="s">
        <v>296</v>
      </c>
      <c r="J45" s="9"/>
      <c r="K45" s="9"/>
    </row>
    <row r="46" spans="1:11" x14ac:dyDescent="0.25">
      <c r="A46" s="17" t="s">
        <v>129</v>
      </c>
      <c r="B46" s="17">
        <v>5</v>
      </c>
      <c r="C46" s="17" t="s">
        <v>164</v>
      </c>
      <c r="D46" s="17" t="s">
        <v>297</v>
      </c>
      <c r="E46" s="4" t="s">
        <v>298</v>
      </c>
      <c r="F46" s="6" t="s">
        <v>299</v>
      </c>
      <c r="G46" s="4" t="s">
        <v>300</v>
      </c>
      <c r="H46" s="17">
        <v>0</v>
      </c>
      <c r="I46" s="6"/>
      <c r="J46" s="9"/>
      <c r="K46" s="9"/>
    </row>
    <row r="47" spans="1:11" x14ac:dyDescent="0.25">
      <c r="A47" s="17" t="s">
        <v>129</v>
      </c>
      <c r="B47" s="17">
        <v>6</v>
      </c>
      <c r="C47" s="17" t="s">
        <v>164</v>
      </c>
      <c r="D47" s="17" t="s">
        <v>297</v>
      </c>
      <c r="E47" s="4" t="s">
        <v>301</v>
      </c>
      <c r="F47" s="6" t="s">
        <v>290</v>
      </c>
      <c r="G47" s="4" t="s">
        <v>302</v>
      </c>
      <c r="H47" s="17">
        <v>0</v>
      </c>
      <c r="I47" s="6"/>
      <c r="J47" s="9"/>
      <c r="K47" s="9"/>
    </row>
    <row r="48" spans="1:11" x14ac:dyDescent="0.25">
      <c r="A48" s="17" t="s">
        <v>129</v>
      </c>
      <c r="B48" s="17">
        <v>7</v>
      </c>
      <c r="C48" s="17" t="s">
        <v>164</v>
      </c>
      <c r="D48" s="17" t="s">
        <v>297</v>
      </c>
      <c r="E48" s="4" t="s">
        <v>303</v>
      </c>
      <c r="F48" s="6" t="s">
        <v>304</v>
      </c>
      <c r="G48" s="4" t="s">
        <v>305</v>
      </c>
      <c r="H48" s="17">
        <v>0</v>
      </c>
      <c r="I48" s="6"/>
      <c r="J48" s="9"/>
      <c r="K48" s="9"/>
    </row>
    <row r="49" spans="1:11" x14ac:dyDescent="0.25">
      <c r="A49" s="17" t="s">
        <v>129</v>
      </c>
      <c r="B49" s="17">
        <v>8</v>
      </c>
      <c r="C49" s="17" t="s">
        <v>164</v>
      </c>
      <c r="D49" s="17" t="s">
        <v>297</v>
      </c>
      <c r="E49" s="4" t="s">
        <v>306</v>
      </c>
      <c r="F49" s="6" t="s">
        <v>304</v>
      </c>
      <c r="G49" s="4" t="s">
        <v>307</v>
      </c>
      <c r="H49" s="17">
        <v>0</v>
      </c>
      <c r="I49" s="6"/>
      <c r="J49" s="9"/>
      <c r="K49" s="9"/>
    </row>
    <row r="50" spans="1:11" x14ac:dyDescent="0.25">
      <c r="A50" s="17" t="s">
        <v>129</v>
      </c>
      <c r="B50" s="17">
        <v>9</v>
      </c>
      <c r="C50" s="17" t="s">
        <v>164</v>
      </c>
      <c r="D50" s="17" t="s">
        <v>297</v>
      </c>
      <c r="E50" s="4" t="s">
        <v>308</v>
      </c>
      <c r="F50" s="6" t="s">
        <v>309</v>
      </c>
      <c r="G50" s="4" t="s">
        <v>310</v>
      </c>
      <c r="H50" s="17">
        <v>0</v>
      </c>
      <c r="I50" s="6"/>
      <c r="J50" s="9"/>
      <c r="K50" s="9"/>
    </row>
    <row r="51" spans="1:11" x14ac:dyDescent="0.25">
      <c r="A51" s="17" t="s">
        <v>129</v>
      </c>
      <c r="B51" s="17">
        <v>10</v>
      </c>
      <c r="C51" s="17" t="s">
        <v>164</v>
      </c>
      <c r="D51" s="17" t="s">
        <v>297</v>
      </c>
      <c r="E51" s="4" t="s">
        <v>241</v>
      </c>
      <c r="F51" s="6" t="s">
        <v>290</v>
      </c>
      <c r="G51" s="4" t="s">
        <v>311</v>
      </c>
      <c r="H51" s="17">
        <v>2</v>
      </c>
      <c r="I51" s="6" t="s">
        <v>312</v>
      </c>
      <c r="J51" s="9"/>
      <c r="K51" s="9"/>
    </row>
    <row r="52" spans="1:11" x14ac:dyDescent="0.25">
      <c r="A52" s="17" t="s">
        <v>129</v>
      </c>
      <c r="B52" s="17">
        <v>11</v>
      </c>
      <c r="C52" s="17" t="s">
        <v>184</v>
      </c>
      <c r="D52" s="17" t="s">
        <v>297</v>
      </c>
      <c r="E52" s="4" t="s">
        <v>313</v>
      </c>
      <c r="F52" s="6" t="s">
        <v>245</v>
      </c>
      <c r="G52" s="4" t="s">
        <v>314</v>
      </c>
      <c r="H52" s="17">
        <v>0</v>
      </c>
      <c r="I52" s="6"/>
      <c r="J52" s="9"/>
      <c r="K52" s="9"/>
    </row>
    <row r="53" spans="1:11" x14ac:dyDescent="0.25">
      <c r="A53" s="17" t="s">
        <v>129</v>
      </c>
      <c r="B53" s="17">
        <v>12</v>
      </c>
      <c r="C53" s="17" t="s">
        <v>184</v>
      </c>
      <c r="D53" s="17" t="s">
        <v>297</v>
      </c>
      <c r="E53" s="4" t="s">
        <v>315</v>
      </c>
      <c r="F53" s="6" t="s">
        <v>316</v>
      </c>
      <c r="G53" s="4" t="s">
        <v>317</v>
      </c>
      <c r="H53" s="17">
        <v>2</v>
      </c>
      <c r="I53" s="6" t="s">
        <v>318</v>
      </c>
      <c r="J53" s="9"/>
      <c r="K53" s="9"/>
    </row>
    <row r="54" spans="1:11" x14ac:dyDescent="0.25">
      <c r="A54" s="17" t="s">
        <v>129</v>
      </c>
      <c r="B54" s="17">
        <v>13</v>
      </c>
      <c r="C54" s="17" t="s">
        <v>195</v>
      </c>
      <c r="D54" s="17" t="s">
        <v>297</v>
      </c>
      <c r="E54" s="4" t="s">
        <v>319</v>
      </c>
      <c r="F54" s="6" t="s">
        <v>253</v>
      </c>
      <c r="G54" s="4" t="s">
        <v>320</v>
      </c>
      <c r="H54" s="17">
        <v>1</v>
      </c>
      <c r="I54" s="6" t="s">
        <v>321</v>
      </c>
      <c r="J54" s="9"/>
      <c r="K54" s="9"/>
    </row>
    <row r="55" spans="1:11" x14ac:dyDescent="0.25">
      <c r="A55" s="17" t="s">
        <v>133</v>
      </c>
      <c r="B55" s="17">
        <v>1</v>
      </c>
      <c r="C55" s="17" t="s">
        <v>164</v>
      </c>
      <c r="D55" s="17" t="s">
        <v>133</v>
      </c>
      <c r="E55" s="4" t="s">
        <v>322</v>
      </c>
      <c r="F55" s="6" t="s">
        <v>323</v>
      </c>
      <c r="G55" s="4" t="s">
        <v>324</v>
      </c>
      <c r="H55" s="17">
        <v>0</v>
      </c>
      <c r="I55" s="6"/>
      <c r="J55" s="9"/>
      <c r="K55" s="9"/>
    </row>
    <row r="56" spans="1:11" x14ac:dyDescent="0.25">
      <c r="A56" s="17" t="s">
        <v>133</v>
      </c>
      <c r="B56" s="17">
        <v>2</v>
      </c>
      <c r="C56" s="17" t="s">
        <v>164</v>
      </c>
      <c r="D56" s="17" t="s">
        <v>133</v>
      </c>
      <c r="E56" s="4" t="s">
        <v>325</v>
      </c>
      <c r="F56" s="6" t="s">
        <v>326</v>
      </c>
      <c r="G56" s="4" t="s">
        <v>327</v>
      </c>
      <c r="H56" s="17">
        <v>0</v>
      </c>
      <c r="I56" s="6"/>
      <c r="J56" s="9"/>
      <c r="K56" s="9"/>
    </row>
    <row r="57" spans="1:11" x14ac:dyDescent="0.25">
      <c r="A57" s="17" t="s">
        <v>133</v>
      </c>
      <c r="B57" s="17">
        <v>3</v>
      </c>
      <c r="C57" s="17" t="s">
        <v>164</v>
      </c>
      <c r="D57" s="17" t="s">
        <v>133</v>
      </c>
      <c r="E57" s="4" t="s">
        <v>328</v>
      </c>
      <c r="F57" s="6" t="s">
        <v>329</v>
      </c>
      <c r="G57" s="4" t="s">
        <v>330</v>
      </c>
      <c r="H57" s="17">
        <v>0</v>
      </c>
      <c r="I57" s="6"/>
      <c r="J57" s="9"/>
      <c r="K57" s="9"/>
    </row>
    <row r="58" spans="1:11" x14ac:dyDescent="0.25">
      <c r="A58" s="17" t="s">
        <v>133</v>
      </c>
      <c r="B58" s="17">
        <v>4</v>
      </c>
      <c r="C58" s="17" t="s">
        <v>164</v>
      </c>
      <c r="D58" s="17" t="s">
        <v>133</v>
      </c>
      <c r="E58" s="4" t="s">
        <v>241</v>
      </c>
      <c r="F58" s="6" t="s">
        <v>290</v>
      </c>
      <c r="G58" s="4" t="s">
        <v>331</v>
      </c>
      <c r="H58" s="17">
        <v>2</v>
      </c>
      <c r="I58" s="6" t="s">
        <v>332</v>
      </c>
      <c r="J58" s="9"/>
      <c r="K58" s="9"/>
    </row>
    <row r="59" spans="1:11" x14ac:dyDescent="0.25">
      <c r="A59" s="17" t="s">
        <v>133</v>
      </c>
      <c r="B59" s="17">
        <v>5</v>
      </c>
      <c r="C59" s="17" t="s">
        <v>184</v>
      </c>
      <c r="D59" s="17" t="s">
        <v>133</v>
      </c>
      <c r="E59" s="4" t="s">
        <v>333</v>
      </c>
      <c r="F59" s="6" t="s">
        <v>334</v>
      </c>
      <c r="G59" s="4" t="s">
        <v>335</v>
      </c>
      <c r="H59" s="17">
        <v>0</v>
      </c>
      <c r="I59" s="6"/>
      <c r="J59" s="9"/>
      <c r="K59" s="9"/>
    </row>
    <row r="60" spans="1:11" x14ac:dyDescent="0.25">
      <c r="A60" s="17" t="s">
        <v>133</v>
      </c>
      <c r="B60" s="17">
        <v>6</v>
      </c>
      <c r="C60" s="17" t="s">
        <v>184</v>
      </c>
      <c r="D60" s="17" t="s">
        <v>133</v>
      </c>
      <c r="E60" s="4" t="s">
        <v>336</v>
      </c>
      <c r="F60" s="6" t="s">
        <v>192</v>
      </c>
      <c r="G60" s="4" t="s">
        <v>337</v>
      </c>
      <c r="H60" s="17">
        <v>2</v>
      </c>
      <c r="I60" s="6" t="s">
        <v>338</v>
      </c>
      <c r="J60" s="9"/>
      <c r="K60" s="9"/>
    </row>
    <row r="61" spans="1:11" x14ac:dyDescent="0.25">
      <c r="A61" s="17" t="s">
        <v>133</v>
      </c>
      <c r="B61" s="17">
        <v>7</v>
      </c>
      <c r="C61" s="17" t="s">
        <v>195</v>
      </c>
      <c r="D61" s="17" t="s">
        <v>133</v>
      </c>
      <c r="E61" s="4" t="s">
        <v>339</v>
      </c>
      <c r="F61" s="6" t="s">
        <v>253</v>
      </c>
      <c r="G61" s="4" t="s">
        <v>340</v>
      </c>
      <c r="H61" s="17">
        <v>1</v>
      </c>
      <c r="I61" s="6" t="s">
        <v>341</v>
      </c>
      <c r="J61" s="9"/>
      <c r="K61" s="9"/>
    </row>
    <row r="62" spans="1:11" x14ac:dyDescent="0.25">
      <c r="A62" s="17" t="s">
        <v>133</v>
      </c>
      <c r="B62" s="17">
        <v>8</v>
      </c>
      <c r="C62" s="17" t="s">
        <v>164</v>
      </c>
      <c r="D62" s="17" t="s">
        <v>133</v>
      </c>
      <c r="E62" s="4" t="s">
        <v>342</v>
      </c>
      <c r="F62" s="6" t="s">
        <v>343</v>
      </c>
      <c r="G62" s="4" t="s">
        <v>344</v>
      </c>
      <c r="H62" s="17">
        <v>0</v>
      </c>
      <c r="I62" s="6"/>
      <c r="J62" s="9"/>
      <c r="K62" s="9"/>
    </row>
    <row r="63" spans="1:11" x14ac:dyDescent="0.25">
      <c r="A63" s="17" t="s">
        <v>133</v>
      </c>
      <c r="B63" s="17">
        <v>9</v>
      </c>
      <c r="C63" s="17" t="s">
        <v>164</v>
      </c>
      <c r="D63" s="17" t="s">
        <v>133</v>
      </c>
      <c r="E63" s="4" t="s">
        <v>345</v>
      </c>
      <c r="F63" s="6" t="s">
        <v>263</v>
      </c>
      <c r="G63" s="4" t="s">
        <v>346</v>
      </c>
      <c r="H63" s="17">
        <v>0</v>
      </c>
      <c r="I63" s="6"/>
      <c r="J63" s="9"/>
      <c r="K63" s="9"/>
    </row>
    <row r="64" spans="1:11" x14ac:dyDescent="0.25">
      <c r="A64" s="17" t="s">
        <v>133</v>
      </c>
      <c r="B64" s="17">
        <v>10</v>
      </c>
      <c r="C64" s="17" t="s">
        <v>164</v>
      </c>
      <c r="D64" s="17" t="s">
        <v>133</v>
      </c>
      <c r="E64" s="4" t="s">
        <v>347</v>
      </c>
      <c r="F64" s="6" t="s">
        <v>348</v>
      </c>
      <c r="G64" s="4" t="s">
        <v>349</v>
      </c>
      <c r="H64" s="17">
        <v>2</v>
      </c>
      <c r="I64" s="6" t="s">
        <v>350</v>
      </c>
      <c r="J64" s="9"/>
      <c r="K64" s="9"/>
    </row>
    <row r="65" spans="1:11" x14ac:dyDescent="0.25">
      <c r="A65" s="17" t="s">
        <v>133</v>
      </c>
      <c r="B65" s="17">
        <v>11</v>
      </c>
      <c r="C65" s="17" t="s">
        <v>184</v>
      </c>
      <c r="D65" s="17" t="s">
        <v>133</v>
      </c>
      <c r="E65" s="4" t="s">
        <v>351</v>
      </c>
      <c r="F65" s="6" t="s">
        <v>352</v>
      </c>
      <c r="G65" s="4" t="s">
        <v>353</v>
      </c>
      <c r="H65" s="17">
        <v>1</v>
      </c>
      <c r="I65" s="6" t="s">
        <v>354</v>
      </c>
      <c r="J65" s="9"/>
      <c r="K65" s="9"/>
    </row>
    <row r="66" spans="1:11" x14ac:dyDescent="0.25">
      <c r="A66" s="17" t="s">
        <v>137</v>
      </c>
      <c r="B66" s="17">
        <v>1</v>
      </c>
      <c r="C66" s="17" t="s">
        <v>164</v>
      </c>
      <c r="D66" s="17" t="s">
        <v>355</v>
      </c>
      <c r="E66" s="4" t="s">
        <v>356</v>
      </c>
      <c r="F66" s="6" t="s">
        <v>357</v>
      </c>
      <c r="G66" s="4" t="s">
        <v>358</v>
      </c>
      <c r="H66" s="17">
        <v>0</v>
      </c>
      <c r="I66" s="6"/>
      <c r="J66" s="9"/>
      <c r="K66" s="9"/>
    </row>
    <row r="67" spans="1:11" x14ac:dyDescent="0.25">
      <c r="A67" s="17" t="s">
        <v>137</v>
      </c>
      <c r="B67" s="17">
        <v>2</v>
      </c>
      <c r="C67" s="17" t="s">
        <v>164</v>
      </c>
      <c r="D67" s="17" t="s">
        <v>355</v>
      </c>
      <c r="E67" s="4" t="s">
        <v>359</v>
      </c>
      <c r="F67" s="6" t="s">
        <v>360</v>
      </c>
      <c r="G67" s="4" t="s">
        <v>361</v>
      </c>
      <c r="H67" s="17">
        <v>0</v>
      </c>
      <c r="I67" s="6"/>
      <c r="J67" s="9"/>
      <c r="K67" s="9"/>
    </row>
    <row r="68" spans="1:11" x14ac:dyDescent="0.25">
      <c r="A68" s="17" t="s">
        <v>137</v>
      </c>
      <c r="B68" s="17">
        <v>3</v>
      </c>
      <c r="C68" s="17" t="s">
        <v>164</v>
      </c>
      <c r="D68" s="17" t="s">
        <v>355</v>
      </c>
      <c r="E68" s="4" t="s">
        <v>241</v>
      </c>
      <c r="F68" s="6" t="s">
        <v>290</v>
      </c>
      <c r="G68" s="4" t="s">
        <v>331</v>
      </c>
      <c r="H68" s="17">
        <v>2</v>
      </c>
      <c r="I68" s="6" t="s">
        <v>362</v>
      </c>
      <c r="J68" s="9"/>
      <c r="K68" s="9"/>
    </row>
    <row r="69" spans="1:11" x14ac:dyDescent="0.25">
      <c r="A69" s="17" t="s">
        <v>137</v>
      </c>
      <c r="B69" s="17">
        <v>4</v>
      </c>
      <c r="C69" s="17" t="s">
        <v>184</v>
      </c>
      <c r="D69" s="17" t="s">
        <v>355</v>
      </c>
      <c r="E69" s="4" t="s">
        <v>363</v>
      </c>
      <c r="F69" s="6" t="s">
        <v>364</v>
      </c>
      <c r="G69" s="4" t="s">
        <v>365</v>
      </c>
      <c r="H69" s="17">
        <v>2</v>
      </c>
      <c r="I69" s="6" t="s">
        <v>366</v>
      </c>
      <c r="J69" s="9"/>
      <c r="K69" s="9"/>
    </row>
    <row r="70" spans="1:11" x14ac:dyDescent="0.25">
      <c r="A70" s="17" t="s">
        <v>137</v>
      </c>
      <c r="B70" s="17">
        <v>5</v>
      </c>
      <c r="C70" s="17" t="s">
        <v>195</v>
      </c>
      <c r="D70" s="17" t="s">
        <v>355</v>
      </c>
      <c r="E70" s="4" t="s">
        <v>367</v>
      </c>
      <c r="F70" s="6" t="s">
        <v>253</v>
      </c>
      <c r="G70" s="4" t="s">
        <v>368</v>
      </c>
      <c r="H70" s="17">
        <v>1</v>
      </c>
      <c r="I70" s="6" t="s">
        <v>369</v>
      </c>
      <c r="J70" s="9"/>
      <c r="K70" s="9"/>
    </row>
    <row r="71" spans="1:11" x14ac:dyDescent="0.25">
      <c r="A71" s="17" t="s">
        <v>137</v>
      </c>
      <c r="B71" s="17">
        <v>6</v>
      </c>
      <c r="C71" s="17" t="s">
        <v>164</v>
      </c>
      <c r="D71" s="17" t="s">
        <v>370</v>
      </c>
      <c r="E71" s="4" t="s">
        <v>371</v>
      </c>
      <c r="F71" s="6" t="s">
        <v>372</v>
      </c>
      <c r="G71" s="4" t="s">
        <v>373</v>
      </c>
      <c r="H71" s="17">
        <v>0</v>
      </c>
      <c r="I71" s="6"/>
      <c r="J71" s="9"/>
      <c r="K71" s="9"/>
    </row>
    <row r="72" spans="1:11" x14ac:dyDescent="0.25">
      <c r="A72" s="17" t="s">
        <v>137</v>
      </c>
      <c r="B72" s="17">
        <v>7</v>
      </c>
      <c r="C72" s="17" t="s">
        <v>164</v>
      </c>
      <c r="D72" s="17" t="s">
        <v>370</v>
      </c>
      <c r="E72" s="4" t="s">
        <v>241</v>
      </c>
      <c r="F72" s="6" t="s">
        <v>290</v>
      </c>
      <c r="G72" s="4" t="s">
        <v>374</v>
      </c>
      <c r="H72" s="17">
        <v>2</v>
      </c>
      <c r="I72" s="6" t="s">
        <v>375</v>
      </c>
      <c r="J72" s="9"/>
      <c r="K72" s="9"/>
    </row>
    <row r="73" spans="1:11" x14ac:dyDescent="0.25">
      <c r="A73" s="17" t="s">
        <v>137</v>
      </c>
      <c r="B73" s="17">
        <v>8</v>
      </c>
      <c r="C73" s="17" t="s">
        <v>184</v>
      </c>
      <c r="D73" s="17" t="s">
        <v>370</v>
      </c>
      <c r="E73" s="4" t="s">
        <v>376</v>
      </c>
      <c r="F73" s="6" t="s">
        <v>294</v>
      </c>
      <c r="G73" s="4" t="s">
        <v>377</v>
      </c>
      <c r="H73" s="17">
        <v>2</v>
      </c>
      <c r="I73" s="6" t="s">
        <v>378</v>
      </c>
      <c r="J73" s="9"/>
      <c r="K73" s="9"/>
    </row>
    <row r="74" spans="1:11" x14ac:dyDescent="0.25">
      <c r="A74" s="17" t="s">
        <v>141</v>
      </c>
      <c r="B74" s="17">
        <v>1</v>
      </c>
      <c r="C74" s="17" t="s">
        <v>164</v>
      </c>
      <c r="D74" s="17" t="s">
        <v>379</v>
      </c>
      <c r="E74" s="4" t="s">
        <v>380</v>
      </c>
      <c r="F74" s="6" t="s">
        <v>290</v>
      </c>
      <c r="G74" s="4" t="s">
        <v>381</v>
      </c>
      <c r="H74" s="17">
        <v>0</v>
      </c>
      <c r="I74" s="6"/>
      <c r="J74" s="9"/>
      <c r="K74" s="9"/>
    </row>
    <row r="75" spans="1:11" x14ac:dyDescent="0.25">
      <c r="A75" s="17" t="s">
        <v>141</v>
      </c>
      <c r="B75" s="17">
        <v>2</v>
      </c>
      <c r="C75" s="17" t="s">
        <v>164</v>
      </c>
      <c r="D75" s="17" t="s">
        <v>379</v>
      </c>
      <c r="E75" s="4" t="s">
        <v>382</v>
      </c>
      <c r="F75" s="6" t="s">
        <v>383</v>
      </c>
      <c r="G75" s="4" t="s">
        <v>384</v>
      </c>
      <c r="H75" s="17">
        <v>0</v>
      </c>
      <c r="I75" s="6"/>
      <c r="J75" s="9"/>
      <c r="K75" s="9"/>
    </row>
    <row r="76" spans="1:11" x14ac:dyDescent="0.25">
      <c r="A76" s="17" t="s">
        <v>141</v>
      </c>
      <c r="B76" s="17">
        <v>3</v>
      </c>
      <c r="C76" s="17" t="s">
        <v>164</v>
      </c>
      <c r="D76" s="17" t="s">
        <v>379</v>
      </c>
      <c r="E76" s="4" t="s">
        <v>385</v>
      </c>
      <c r="F76" s="6" t="s">
        <v>386</v>
      </c>
      <c r="G76" s="4" t="s">
        <v>387</v>
      </c>
      <c r="H76" s="17">
        <v>0</v>
      </c>
      <c r="I76" s="6"/>
      <c r="J76" s="9"/>
      <c r="K76" s="9"/>
    </row>
    <row r="77" spans="1:11" x14ac:dyDescent="0.25">
      <c r="A77" s="17" t="s">
        <v>141</v>
      </c>
      <c r="B77" s="17">
        <v>4</v>
      </c>
      <c r="C77" s="17" t="s">
        <v>164</v>
      </c>
      <c r="D77" s="17" t="s">
        <v>379</v>
      </c>
      <c r="E77" s="4" t="s">
        <v>388</v>
      </c>
      <c r="F77" s="6" t="s">
        <v>236</v>
      </c>
      <c r="G77" s="4" t="s">
        <v>389</v>
      </c>
      <c r="H77" s="17">
        <v>0</v>
      </c>
      <c r="I77" s="6"/>
      <c r="J77" s="9"/>
      <c r="K77" s="9"/>
    </row>
    <row r="78" spans="1:11" x14ac:dyDescent="0.25">
      <c r="A78" s="17" t="s">
        <v>141</v>
      </c>
      <c r="B78" s="17">
        <v>5</v>
      </c>
      <c r="C78" s="17" t="s">
        <v>164</v>
      </c>
      <c r="D78" s="17" t="s">
        <v>379</v>
      </c>
      <c r="E78" s="4" t="s">
        <v>390</v>
      </c>
      <c r="F78" s="6" t="s">
        <v>391</v>
      </c>
      <c r="G78" s="4" t="s">
        <v>392</v>
      </c>
      <c r="H78" s="17">
        <v>0</v>
      </c>
      <c r="I78" s="6"/>
      <c r="J78" s="9"/>
      <c r="K78" s="9"/>
    </row>
    <row r="79" spans="1:11" x14ac:dyDescent="0.25">
      <c r="A79" s="17" t="s">
        <v>141</v>
      </c>
      <c r="B79" s="17">
        <v>6</v>
      </c>
      <c r="C79" s="17" t="s">
        <v>164</v>
      </c>
      <c r="D79" s="17" t="s">
        <v>379</v>
      </c>
      <c r="E79" s="4" t="s">
        <v>393</v>
      </c>
      <c r="F79" s="6" t="s">
        <v>394</v>
      </c>
      <c r="G79" s="4" t="s">
        <v>395</v>
      </c>
      <c r="H79" s="17">
        <v>0</v>
      </c>
      <c r="I79" s="6"/>
      <c r="J79" s="9"/>
      <c r="K79" s="9"/>
    </row>
    <row r="80" spans="1:11" x14ac:dyDescent="0.25">
      <c r="A80" s="17" t="s">
        <v>141</v>
      </c>
      <c r="B80" s="17">
        <v>7</v>
      </c>
      <c r="C80" s="17" t="s">
        <v>164</v>
      </c>
      <c r="D80" s="17" t="s">
        <v>379</v>
      </c>
      <c r="E80" s="4" t="s">
        <v>396</v>
      </c>
      <c r="F80" s="6" t="s">
        <v>397</v>
      </c>
      <c r="G80" s="4" t="s">
        <v>398</v>
      </c>
      <c r="H80" s="17">
        <v>0</v>
      </c>
      <c r="I80" s="6"/>
      <c r="J80" s="9"/>
      <c r="K80" s="9"/>
    </row>
    <row r="81" spans="1:11" x14ac:dyDescent="0.25">
      <c r="A81" s="17" t="s">
        <v>141</v>
      </c>
      <c r="B81" s="17">
        <v>8</v>
      </c>
      <c r="C81" s="17" t="s">
        <v>164</v>
      </c>
      <c r="D81" s="17" t="s">
        <v>379</v>
      </c>
      <c r="E81" s="4" t="s">
        <v>399</v>
      </c>
      <c r="F81" s="6" t="s">
        <v>400</v>
      </c>
      <c r="G81" s="4" t="s">
        <v>401</v>
      </c>
      <c r="H81" s="17">
        <v>0</v>
      </c>
      <c r="I81" s="6"/>
      <c r="J81" s="9"/>
      <c r="K81" s="9"/>
    </row>
    <row r="82" spans="1:11" x14ac:dyDescent="0.25">
      <c r="A82" s="17" t="s">
        <v>141</v>
      </c>
      <c r="B82" s="17">
        <v>9</v>
      </c>
      <c r="C82" s="17" t="s">
        <v>164</v>
      </c>
      <c r="D82" s="17" t="s">
        <v>379</v>
      </c>
      <c r="E82" s="4" t="s">
        <v>402</v>
      </c>
      <c r="F82" s="6" t="s">
        <v>403</v>
      </c>
      <c r="G82" s="4" t="s">
        <v>404</v>
      </c>
      <c r="H82" s="17">
        <v>2</v>
      </c>
      <c r="I82" s="6" t="s">
        <v>405</v>
      </c>
      <c r="J82" s="9"/>
      <c r="K82" s="9"/>
    </row>
    <row r="83" spans="1:11" x14ac:dyDescent="0.25">
      <c r="A83" s="17" t="s">
        <v>141</v>
      </c>
      <c r="B83" s="17">
        <v>10</v>
      </c>
      <c r="C83" s="17" t="s">
        <v>184</v>
      </c>
      <c r="D83" s="17" t="s">
        <v>379</v>
      </c>
      <c r="E83" s="4" t="s">
        <v>406</v>
      </c>
      <c r="F83" s="6" t="s">
        <v>407</v>
      </c>
      <c r="G83" s="4" t="s">
        <v>408</v>
      </c>
      <c r="H83" s="17">
        <v>0</v>
      </c>
      <c r="I83" s="6"/>
      <c r="J83" s="9"/>
      <c r="K83" s="9"/>
    </row>
    <row r="84" spans="1:11" x14ac:dyDescent="0.25">
      <c r="A84" s="17" t="s">
        <v>141</v>
      </c>
      <c r="B84" s="17">
        <v>11</v>
      </c>
      <c r="C84" s="17" t="s">
        <v>184</v>
      </c>
      <c r="D84" s="17" t="s">
        <v>379</v>
      </c>
      <c r="E84" s="4" t="s">
        <v>409</v>
      </c>
      <c r="F84" s="6" t="s">
        <v>410</v>
      </c>
      <c r="G84" s="4" t="s">
        <v>411</v>
      </c>
      <c r="H84" s="17">
        <v>1</v>
      </c>
      <c r="I84" s="6" t="s">
        <v>412</v>
      </c>
      <c r="J84" s="9"/>
      <c r="K84" s="9"/>
    </row>
    <row r="85" spans="1:11" x14ac:dyDescent="0.25">
      <c r="A85" s="17" t="s">
        <v>141</v>
      </c>
      <c r="B85" s="17">
        <v>12</v>
      </c>
      <c r="C85" s="17" t="s">
        <v>164</v>
      </c>
      <c r="D85" s="17" t="s">
        <v>413</v>
      </c>
      <c r="E85" s="4" t="s">
        <v>414</v>
      </c>
      <c r="F85" s="6" t="s">
        <v>415</v>
      </c>
      <c r="G85" s="4" t="s">
        <v>416</v>
      </c>
      <c r="H85" s="17">
        <v>0</v>
      </c>
      <c r="I85" s="6"/>
      <c r="J85" s="9"/>
      <c r="K85" s="9"/>
    </row>
    <row r="86" spans="1:11" x14ac:dyDescent="0.25">
      <c r="A86" s="17" t="s">
        <v>141</v>
      </c>
      <c r="B86" s="17">
        <v>13</v>
      </c>
      <c r="C86" s="17" t="s">
        <v>164</v>
      </c>
      <c r="D86" s="17" t="s">
        <v>413</v>
      </c>
      <c r="E86" s="4" t="s">
        <v>417</v>
      </c>
      <c r="F86" s="6" t="s">
        <v>418</v>
      </c>
      <c r="G86" s="4" t="s">
        <v>419</v>
      </c>
      <c r="H86" s="17">
        <v>2</v>
      </c>
      <c r="I86" s="6" t="s">
        <v>420</v>
      </c>
      <c r="J86" s="9"/>
      <c r="K86" s="9"/>
    </row>
    <row r="87" spans="1:11" x14ac:dyDescent="0.25">
      <c r="A87" s="17" t="s">
        <v>141</v>
      </c>
      <c r="B87" s="17">
        <v>14</v>
      </c>
      <c r="C87" s="17" t="s">
        <v>184</v>
      </c>
      <c r="D87" s="17" t="s">
        <v>413</v>
      </c>
      <c r="E87" s="4" t="s">
        <v>421</v>
      </c>
      <c r="F87" s="6" t="s">
        <v>294</v>
      </c>
      <c r="G87" s="4" t="s">
        <v>422</v>
      </c>
      <c r="H87" s="17">
        <v>2</v>
      </c>
      <c r="I87" s="6" t="s">
        <v>423</v>
      </c>
      <c r="J87" s="9"/>
      <c r="K87" s="9"/>
    </row>
    <row r="88" spans="1:11" x14ac:dyDescent="0.25">
      <c r="A88" s="17" t="s">
        <v>141</v>
      </c>
      <c r="B88" s="17">
        <v>15</v>
      </c>
      <c r="C88" s="17" t="s">
        <v>195</v>
      </c>
      <c r="D88" s="17" t="s">
        <v>413</v>
      </c>
      <c r="E88" s="4" t="s">
        <v>367</v>
      </c>
      <c r="F88" s="6" t="s">
        <v>253</v>
      </c>
      <c r="G88" s="4" t="s">
        <v>424</v>
      </c>
      <c r="H88" s="17">
        <v>1</v>
      </c>
      <c r="I88" s="6" t="s">
        <v>425</v>
      </c>
      <c r="J88" s="9"/>
      <c r="K88" s="9"/>
    </row>
    <row r="89" spans="1:11" x14ac:dyDescent="0.25">
      <c r="A89" s="17" t="s">
        <v>145</v>
      </c>
      <c r="B89" s="17">
        <v>1</v>
      </c>
      <c r="C89" s="17" t="s">
        <v>164</v>
      </c>
      <c r="D89" s="17" t="s">
        <v>426</v>
      </c>
      <c r="E89" s="4" t="s">
        <v>427</v>
      </c>
      <c r="F89" s="6" t="s">
        <v>428</v>
      </c>
      <c r="G89" s="4" t="s">
        <v>331</v>
      </c>
      <c r="H89" s="17">
        <v>2</v>
      </c>
      <c r="I89" s="6" t="s">
        <v>429</v>
      </c>
      <c r="J89" s="9"/>
      <c r="K89" s="9"/>
    </row>
    <row r="90" spans="1:11" x14ac:dyDescent="0.25">
      <c r="A90" s="17" t="s">
        <v>145</v>
      </c>
      <c r="B90" s="17">
        <v>2</v>
      </c>
      <c r="C90" s="17" t="s">
        <v>184</v>
      </c>
      <c r="D90" s="17" t="s">
        <v>426</v>
      </c>
      <c r="E90" s="4" t="s">
        <v>430</v>
      </c>
      <c r="F90" s="6" t="s">
        <v>431</v>
      </c>
      <c r="G90" s="4" t="s">
        <v>432</v>
      </c>
      <c r="H90" s="17">
        <v>1</v>
      </c>
      <c r="I90" s="6" t="s">
        <v>433</v>
      </c>
      <c r="J90" s="9"/>
      <c r="K90" s="9"/>
    </row>
    <row r="91" spans="1:11" x14ac:dyDescent="0.25">
      <c r="A91" s="17" t="s">
        <v>145</v>
      </c>
      <c r="B91" s="17">
        <v>3</v>
      </c>
      <c r="C91" s="17" t="s">
        <v>164</v>
      </c>
      <c r="D91" s="17" t="s">
        <v>426</v>
      </c>
      <c r="E91" s="4" t="s">
        <v>434</v>
      </c>
      <c r="F91" s="6" t="s">
        <v>435</v>
      </c>
      <c r="G91" s="4" t="s">
        <v>436</v>
      </c>
      <c r="H91" s="17">
        <v>0</v>
      </c>
      <c r="I91" s="6"/>
      <c r="J91" s="9"/>
      <c r="K91" s="9"/>
    </row>
    <row r="92" spans="1:11" x14ac:dyDescent="0.25">
      <c r="A92" s="17" t="s">
        <v>145</v>
      </c>
      <c r="B92" s="17">
        <v>4</v>
      </c>
      <c r="C92" s="17" t="s">
        <v>164</v>
      </c>
      <c r="D92" s="17" t="s">
        <v>437</v>
      </c>
      <c r="E92" s="4" t="s">
        <v>438</v>
      </c>
      <c r="F92" s="6" t="s">
        <v>290</v>
      </c>
      <c r="G92" s="4" t="s">
        <v>331</v>
      </c>
      <c r="H92" s="17">
        <v>2</v>
      </c>
      <c r="I92" s="6" t="s">
        <v>439</v>
      </c>
      <c r="J92" s="9"/>
      <c r="K92" s="9"/>
    </row>
    <row r="93" spans="1:11" x14ac:dyDescent="0.25">
      <c r="A93" s="17" t="s">
        <v>145</v>
      </c>
      <c r="B93" s="17">
        <v>5</v>
      </c>
      <c r="C93" s="17" t="s">
        <v>184</v>
      </c>
      <c r="D93" s="17" t="s">
        <v>437</v>
      </c>
      <c r="E93" s="4" t="s">
        <v>336</v>
      </c>
      <c r="F93" s="6" t="s">
        <v>294</v>
      </c>
      <c r="G93" s="4" t="s">
        <v>440</v>
      </c>
      <c r="H93" s="17">
        <v>2</v>
      </c>
      <c r="I93" s="6" t="s">
        <v>441</v>
      </c>
      <c r="J93" s="9"/>
      <c r="K93" s="9"/>
    </row>
    <row r="94" spans="1:11" x14ac:dyDescent="0.25">
      <c r="A94" s="17" t="s">
        <v>145</v>
      </c>
      <c r="B94" s="17">
        <v>6</v>
      </c>
      <c r="C94" s="17" t="s">
        <v>195</v>
      </c>
      <c r="D94" s="17" t="s">
        <v>437</v>
      </c>
      <c r="E94" s="4" t="s">
        <v>442</v>
      </c>
      <c r="F94" s="6" t="s">
        <v>443</v>
      </c>
      <c r="G94" s="4" t="s">
        <v>444</v>
      </c>
      <c r="H94" s="17">
        <v>1</v>
      </c>
      <c r="I94" s="6" t="s">
        <v>445</v>
      </c>
      <c r="J94" s="9"/>
      <c r="K94" s="9"/>
    </row>
    <row r="95" spans="1:11" x14ac:dyDescent="0.25">
      <c r="A95" s="17" t="s">
        <v>145</v>
      </c>
      <c r="B95" s="17">
        <v>7</v>
      </c>
      <c r="C95" s="17" t="s">
        <v>164</v>
      </c>
      <c r="D95" s="17" t="s">
        <v>437</v>
      </c>
      <c r="E95" s="4" t="s">
        <v>446</v>
      </c>
      <c r="F95" s="6" t="s">
        <v>447</v>
      </c>
      <c r="G95" s="4" t="s">
        <v>448</v>
      </c>
      <c r="H95" s="17">
        <v>2</v>
      </c>
      <c r="I95" s="6" t="s">
        <v>449</v>
      </c>
      <c r="J95" s="9"/>
      <c r="K95" s="9"/>
    </row>
    <row r="96" spans="1:11" x14ac:dyDescent="0.25">
      <c r="A96" s="17" t="s">
        <v>145</v>
      </c>
      <c r="B96" s="17">
        <v>8</v>
      </c>
      <c r="C96" s="17" t="s">
        <v>184</v>
      </c>
      <c r="D96" s="17" t="s">
        <v>437</v>
      </c>
      <c r="E96" s="4" t="s">
        <v>450</v>
      </c>
      <c r="F96" s="6" t="s">
        <v>294</v>
      </c>
      <c r="G96" s="4" t="s">
        <v>451</v>
      </c>
      <c r="H96" s="17">
        <v>2</v>
      </c>
      <c r="I96" s="6" t="s">
        <v>452</v>
      </c>
      <c r="J96" s="9"/>
      <c r="K96" s="9"/>
    </row>
    <row r="97" spans="1:11" x14ac:dyDescent="0.25">
      <c r="A97" s="17" t="s">
        <v>145</v>
      </c>
      <c r="B97" s="17">
        <v>9</v>
      </c>
      <c r="C97" s="17" t="s">
        <v>195</v>
      </c>
      <c r="D97" s="17" t="s">
        <v>437</v>
      </c>
      <c r="E97" s="4" t="s">
        <v>453</v>
      </c>
      <c r="F97" s="6" t="s">
        <v>454</v>
      </c>
      <c r="G97" s="4" t="s">
        <v>455</v>
      </c>
      <c r="H97" s="17">
        <v>1</v>
      </c>
      <c r="I97" s="6" t="s">
        <v>456</v>
      </c>
      <c r="J97" s="9"/>
      <c r="K97" s="9"/>
    </row>
    <row r="98" spans="1:11" x14ac:dyDescent="0.25">
      <c r="A98" s="17" t="s">
        <v>145</v>
      </c>
      <c r="B98" s="17">
        <v>10</v>
      </c>
      <c r="C98" s="17" t="s">
        <v>164</v>
      </c>
      <c r="D98" s="17" t="s">
        <v>437</v>
      </c>
      <c r="E98" s="4" t="s">
        <v>457</v>
      </c>
      <c r="F98" s="6" t="s">
        <v>458</v>
      </c>
      <c r="G98" s="4" t="s">
        <v>459</v>
      </c>
      <c r="H98" s="17">
        <v>0</v>
      </c>
      <c r="I98" s="6"/>
      <c r="J98" s="9"/>
      <c r="K98" s="9"/>
    </row>
    <row r="99" spans="1:11" x14ac:dyDescent="0.25">
      <c r="A99" s="17" t="s">
        <v>145</v>
      </c>
      <c r="B99" s="17">
        <v>11</v>
      </c>
      <c r="C99" s="17" t="s">
        <v>164</v>
      </c>
      <c r="D99" s="17" t="s">
        <v>460</v>
      </c>
      <c r="E99" s="4" t="s">
        <v>461</v>
      </c>
      <c r="F99" s="6" t="s">
        <v>462</v>
      </c>
      <c r="G99" s="4" t="s">
        <v>463</v>
      </c>
      <c r="H99" s="17">
        <v>1</v>
      </c>
      <c r="I99" s="6" t="s">
        <v>464</v>
      </c>
      <c r="J99" s="9"/>
      <c r="K99" s="9"/>
    </row>
    <row r="100" spans="1:11" x14ac:dyDescent="0.25">
      <c r="A100" s="17" t="s">
        <v>145</v>
      </c>
      <c r="B100" s="17">
        <v>12</v>
      </c>
      <c r="C100" s="17" t="s">
        <v>164</v>
      </c>
      <c r="D100" s="17" t="s">
        <v>465</v>
      </c>
      <c r="E100" s="4" t="s">
        <v>466</v>
      </c>
      <c r="F100" s="6" t="s">
        <v>467</v>
      </c>
      <c r="G100" s="4" t="s">
        <v>468</v>
      </c>
      <c r="H100" s="17">
        <v>3</v>
      </c>
      <c r="I100" s="6" t="s">
        <v>469</v>
      </c>
      <c r="J100" s="9"/>
      <c r="K100" s="9"/>
    </row>
    <row r="101" spans="1:11" x14ac:dyDescent="0.25">
      <c r="A101" s="17" t="s">
        <v>145</v>
      </c>
      <c r="B101" s="17">
        <v>13</v>
      </c>
      <c r="C101" s="17" t="s">
        <v>184</v>
      </c>
      <c r="D101" s="17" t="s">
        <v>426</v>
      </c>
      <c r="E101" s="4" t="s">
        <v>470</v>
      </c>
      <c r="F101" s="6" t="s">
        <v>471</v>
      </c>
      <c r="G101" s="4" t="s">
        <v>472</v>
      </c>
      <c r="H101" s="17">
        <v>0</v>
      </c>
      <c r="I101" s="6"/>
      <c r="J101" s="9"/>
      <c r="K101" s="9"/>
    </row>
    <row r="102" spans="1:11" x14ac:dyDescent="0.25">
      <c r="A102" s="17" t="s">
        <v>149</v>
      </c>
      <c r="B102" s="17">
        <v>1</v>
      </c>
      <c r="C102" s="17" t="s">
        <v>164</v>
      </c>
      <c r="D102" s="17" t="s">
        <v>473</v>
      </c>
      <c r="E102" s="4" t="s">
        <v>474</v>
      </c>
      <c r="F102" s="6" t="s">
        <v>428</v>
      </c>
      <c r="G102" s="4" t="s">
        <v>331</v>
      </c>
      <c r="H102" s="17">
        <v>2</v>
      </c>
      <c r="I102" s="6" t="s">
        <v>475</v>
      </c>
      <c r="J102" s="9"/>
      <c r="K102" s="9"/>
    </row>
    <row r="103" spans="1:11" x14ac:dyDescent="0.25">
      <c r="A103" s="17" t="s">
        <v>149</v>
      </c>
      <c r="B103" s="17">
        <v>2</v>
      </c>
      <c r="C103" s="17" t="s">
        <v>184</v>
      </c>
      <c r="D103" s="17" t="s">
        <v>473</v>
      </c>
      <c r="E103" s="4" t="s">
        <v>336</v>
      </c>
      <c r="F103" s="6" t="s">
        <v>294</v>
      </c>
      <c r="G103" s="4" t="s">
        <v>476</v>
      </c>
      <c r="H103" s="17">
        <v>2</v>
      </c>
      <c r="I103" s="6" t="s">
        <v>477</v>
      </c>
      <c r="J103" s="9"/>
      <c r="K103" s="9"/>
    </row>
    <row r="104" spans="1:11" x14ac:dyDescent="0.25">
      <c r="A104" s="17" t="s">
        <v>149</v>
      </c>
      <c r="B104" s="17">
        <v>3</v>
      </c>
      <c r="C104" s="17" t="s">
        <v>195</v>
      </c>
      <c r="D104" s="17" t="s">
        <v>473</v>
      </c>
      <c r="E104" s="4" t="s">
        <v>478</v>
      </c>
      <c r="F104" s="6" t="s">
        <v>479</v>
      </c>
      <c r="G104" s="4" t="s">
        <v>480</v>
      </c>
      <c r="H104" s="17">
        <v>1</v>
      </c>
      <c r="I104" s="6" t="s">
        <v>481</v>
      </c>
      <c r="J104" s="9"/>
      <c r="K104" s="9"/>
    </row>
    <row r="105" spans="1:11" x14ac:dyDescent="0.25">
      <c r="A105" s="17" t="s">
        <v>149</v>
      </c>
      <c r="B105" s="17">
        <v>4</v>
      </c>
      <c r="C105" s="17" t="s">
        <v>164</v>
      </c>
      <c r="D105" s="17" t="s">
        <v>482</v>
      </c>
      <c r="E105" s="4" t="s">
        <v>483</v>
      </c>
      <c r="F105" s="6" t="s">
        <v>290</v>
      </c>
      <c r="G105" s="4" t="s">
        <v>331</v>
      </c>
      <c r="H105" s="17">
        <v>2</v>
      </c>
      <c r="I105" s="6" t="s">
        <v>484</v>
      </c>
      <c r="J105" s="9"/>
      <c r="K105" s="9"/>
    </row>
    <row r="106" spans="1:11" x14ac:dyDescent="0.25">
      <c r="A106" s="17" t="s">
        <v>149</v>
      </c>
      <c r="B106" s="17">
        <v>5</v>
      </c>
      <c r="C106" s="17" t="s">
        <v>184</v>
      </c>
      <c r="D106" s="17" t="s">
        <v>482</v>
      </c>
      <c r="E106" s="4" t="s">
        <v>336</v>
      </c>
      <c r="F106" s="6" t="s">
        <v>294</v>
      </c>
      <c r="G106" s="4" t="s">
        <v>485</v>
      </c>
      <c r="H106" s="17">
        <v>2</v>
      </c>
      <c r="I106" s="6" t="s">
        <v>486</v>
      </c>
      <c r="J106" s="9"/>
      <c r="K106" s="9"/>
    </row>
    <row r="107" spans="1:11" x14ac:dyDescent="0.25">
      <c r="A107" s="17" t="s">
        <v>149</v>
      </c>
      <c r="B107" s="17">
        <v>6</v>
      </c>
      <c r="C107" s="17" t="s">
        <v>195</v>
      </c>
      <c r="D107" s="17" t="s">
        <v>482</v>
      </c>
      <c r="E107" s="4" t="s">
        <v>478</v>
      </c>
      <c r="F107" s="6" t="s">
        <v>479</v>
      </c>
      <c r="G107" s="4" t="s">
        <v>480</v>
      </c>
      <c r="H107" s="17">
        <v>1</v>
      </c>
      <c r="I107" s="6" t="s">
        <v>487</v>
      </c>
      <c r="J107" s="9"/>
      <c r="K107" s="9"/>
    </row>
    <row r="108" spans="1:11" x14ac:dyDescent="0.25">
      <c r="A108" s="17" t="s">
        <v>149</v>
      </c>
      <c r="B108" s="17">
        <v>7</v>
      </c>
      <c r="C108" s="17" t="s">
        <v>164</v>
      </c>
      <c r="D108" s="17" t="s">
        <v>473</v>
      </c>
      <c r="E108" s="4" t="s">
        <v>488</v>
      </c>
      <c r="F108" s="6" t="s">
        <v>489</v>
      </c>
      <c r="G108" s="4" t="s">
        <v>490</v>
      </c>
      <c r="H108" s="17">
        <v>2</v>
      </c>
      <c r="I108" s="6" t="s">
        <v>491</v>
      </c>
      <c r="J108" s="9"/>
      <c r="K108" s="9"/>
    </row>
    <row r="109" spans="1:11" x14ac:dyDescent="0.25">
      <c r="A109" s="17" t="s">
        <v>149</v>
      </c>
      <c r="B109" s="17">
        <v>8</v>
      </c>
      <c r="C109" s="17" t="s">
        <v>184</v>
      </c>
      <c r="D109" s="17" t="s">
        <v>473</v>
      </c>
      <c r="E109" s="4" t="s">
        <v>492</v>
      </c>
      <c r="F109" s="6" t="s">
        <v>493</v>
      </c>
      <c r="G109" s="4" t="s">
        <v>494</v>
      </c>
      <c r="H109" s="17">
        <v>1</v>
      </c>
      <c r="I109" s="6" t="s">
        <v>495</v>
      </c>
      <c r="J109" s="9"/>
      <c r="K109" s="9"/>
    </row>
    <row r="110" spans="1:11" x14ac:dyDescent="0.25">
      <c r="A110" s="17" t="s">
        <v>149</v>
      </c>
      <c r="B110" s="17">
        <v>9</v>
      </c>
      <c r="C110" s="17" t="s">
        <v>164</v>
      </c>
      <c r="D110" s="17" t="s">
        <v>473</v>
      </c>
      <c r="E110" s="4" t="s">
        <v>496</v>
      </c>
      <c r="F110" s="6" t="s">
        <v>497</v>
      </c>
      <c r="G110" s="4" t="s">
        <v>498</v>
      </c>
      <c r="H110" s="17">
        <v>2</v>
      </c>
      <c r="I110" s="6" t="s">
        <v>499</v>
      </c>
      <c r="J110" s="9"/>
      <c r="K110" s="9"/>
    </row>
    <row r="111" spans="1:11" x14ac:dyDescent="0.25">
      <c r="A111" s="17" t="s">
        <v>149</v>
      </c>
      <c r="B111" s="17">
        <v>10</v>
      </c>
      <c r="C111" s="17" t="s">
        <v>184</v>
      </c>
      <c r="D111" s="17" t="s">
        <v>473</v>
      </c>
      <c r="E111" s="4" t="s">
        <v>500</v>
      </c>
      <c r="F111" s="6" t="s">
        <v>501</v>
      </c>
      <c r="G111" s="4" t="s">
        <v>280</v>
      </c>
      <c r="H111" s="17">
        <v>1</v>
      </c>
      <c r="I111" s="6" t="s">
        <v>502</v>
      </c>
      <c r="J111" s="9"/>
      <c r="K111" s="9"/>
    </row>
    <row r="112" spans="1:11" x14ac:dyDescent="0.25">
      <c r="A112" s="17" t="s">
        <v>149</v>
      </c>
      <c r="B112" s="17">
        <v>11</v>
      </c>
      <c r="C112" s="17" t="s">
        <v>164</v>
      </c>
      <c r="D112" s="17" t="s">
        <v>482</v>
      </c>
      <c r="E112" s="4" t="s">
        <v>503</v>
      </c>
      <c r="F112" s="6" t="s">
        <v>504</v>
      </c>
      <c r="G112" s="4" t="s">
        <v>505</v>
      </c>
      <c r="H112" s="17">
        <v>2</v>
      </c>
      <c r="I112" s="6" t="s">
        <v>506</v>
      </c>
      <c r="J112" s="9"/>
      <c r="K112" s="9"/>
    </row>
    <row r="113" spans="1:11" x14ac:dyDescent="0.25">
      <c r="A113" s="17" t="s">
        <v>149</v>
      </c>
      <c r="B113" s="17">
        <v>12</v>
      </c>
      <c r="C113" s="17" t="s">
        <v>184</v>
      </c>
      <c r="D113" s="17" t="s">
        <v>482</v>
      </c>
      <c r="E113" s="4" t="s">
        <v>507</v>
      </c>
      <c r="F113" s="6" t="s">
        <v>508</v>
      </c>
      <c r="G113" s="4" t="s">
        <v>509</v>
      </c>
      <c r="H113" s="17">
        <v>1</v>
      </c>
      <c r="I113" s="6" t="s">
        <v>510</v>
      </c>
      <c r="J113" s="9"/>
      <c r="K113" s="9"/>
    </row>
    <row r="114" spans="1:11" x14ac:dyDescent="0.25">
      <c r="A114" s="17" t="s">
        <v>149</v>
      </c>
      <c r="B114" s="17">
        <v>13</v>
      </c>
      <c r="C114" s="17" t="s">
        <v>164</v>
      </c>
      <c r="D114" s="17" t="s">
        <v>482</v>
      </c>
      <c r="E114" s="4" t="s">
        <v>511</v>
      </c>
      <c r="F114" s="6" t="s">
        <v>512</v>
      </c>
      <c r="G114" s="4" t="s">
        <v>513</v>
      </c>
      <c r="H114" s="17">
        <v>0</v>
      </c>
      <c r="I114" s="6"/>
      <c r="J114" s="9"/>
      <c r="K114" s="9"/>
    </row>
  </sheetData>
  <autoFilter ref="A4:K114"/>
  <mergeCells count="1">
    <mergeCell ref="A2:K2"/>
  </mergeCells>
  <conditionalFormatting sqref="A1:K114">
    <cfRule type="cellIs" dxfId="12" priority="1" operator="equal">
      <formula>"PASS"</formula>
    </cfRule>
    <cfRule type="cellIs" dxfId="13" priority="2" operator="equal">
      <formula>"OK"</formula>
    </cfRule>
    <cfRule type="cellIs" dxfId="14" priority="3" operator="equal">
      <formula>"Covered"</formula>
    </cfRule>
    <cfRule type="cellIs" dxfId="15" priority="4" operator="equal">
      <formula>"FAIL"</formula>
    </cfRule>
    <cfRule type="cellIs" dxfId="16" priority="5" operator="equal">
      <formula>"CHECK"</formula>
    </cfRule>
    <cfRule type="cellIs" dxfId="17" priority="6" operator="equal">
      <formula>"GAP"</formula>
    </cfRule>
  </conditionalFormatting>
  <dataValidations count="2">
    <dataValidation type="list" allowBlank="1" sqref="J10:J114">
      <formula1>"Pass,Fail,Blocked,Observe,Skipped"</formula1>
    </dataValidation>
    <dataValidation type="list" allowBlank="1" sqref="J5:J114">
      <formula1>"Pass,Fail,Blocked,Observe,Skipped"</formula1>
    </dataValidation>
  </dataValidations>
  <pageSetup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8F82"/>
    <pageSetUpPr fitToPage="1"/>
  </sheetPr>
  <dimension ref="A1:M150"/>
  <sheetViews>
    <sheetView workbookViewId="0" showGridLines="0"/>
  </sheetViews>
  <sheetFormatPr defaultRowHeight="15" outlineLevelRow="0" outlineLevelCol="0" x14ac:dyDescent="55"/>
  <cols>
    <col min="1" max="1" width="8" customWidth="1"/>
    <col min="2" max="2" width="40" customWidth="1"/>
    <col min="3" max="3" width="52" customWidth="1"/>
    <col min="4" max="6" width="15" customWidth="1"/>
    <col min="7" max="13" width="14" customWidth="1"/>
  </cols>
  <sheetData>
    <row r="1" ht="26" customHeight="1" spans="1:1" x14ac:dyDescent="0.25">
      <c r="A1" s="1" t="s">
        <v>514</v>
      </c>
    </row>
    <row r="2" ht="42" customHeight="1" spans="1:13" x14ac:dyDescent="0.25">
      <c r="A2" s="2" t="s">
        <v>124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5">
      <c r="A3" s="2" t="s">
        <v>515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5" spans="1:13" x14ac:dyDescent="0.25">
      <c r="A5" s="3" t="s">
        <v>516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6" x14ac:dyDescent="0.25">
      <c r="A6" s="16" t="s">
        <v>517</v>
      </c>
      <c r="B6" s="16" t="s">
        <v>518</v>
      </c>
      <c r="C6" s="16" t="s">
        <v>519</v>
      </c>
      <c r="D6" s="16" t="s">
        <v>121</v>
      </c>
      <c r="E6" s="16"/>
      <c r="F6" s="16"/>
    </row>
    <row r="7" spans="1:6" x14ac:dyDescent="0.25">
      <c r="A7" s="17"/>
      <c r="B7" s="4" t="s">
        <v>520</v>
      </c>
      <c r="C7" s="6" t="s">
        <v>521</v>
      </c>
      <c r="D7" s="8" t="s">
        <v>522</v>
      </c>
      <c r="E7" s="4"/>
      <c r="F7" s="4"/>
    </row>
    <row r="8" spans="1:6" x14ac:dyDescent="0.25">
      <c r="A8" s="17"/>
      <c r="B8" s="4" t="s">
        <v>523</v>
      </c>
      <c r="C8" s="6"/>
      <c r="D8" s="8" t="s">
        <v>524</v>
      </c>
      <c r="E8" s="4"/>
      <c r="F8" s="4"/>
    </row>
    <row r="9" spans="1:6" x14ac:dyDescent="0.25">
      <c r="A9" s="17"/>
      <c r="B9" s="4" t="s">
        <v>525</v>
      </c>
      <c r="C9" s="6" t="s">
        <v>526</v>
      </c>
      <c r="D9" s="8" t="s">
        <v>527</v>
      </c>
      <c r="E9" s="4"/>
      <c r="F9" s="4"/>
    </row>
    <row r="10" spans="1:6" x14ac:dyDescent="0.25">
      <c r="A10" s="17"/>
      <c r="B10" s="4" t="s">
        <v>528</v>
      </c>
      <c r="C10" s="6" t="s">
        <v>529</v>
      </c>
      <c r="D10" s="8" t="s">
        <v>530</v>
      </c>
      <c r="E10" s="4"/>
      <c r="F10" s="4"/>
    </row>
    <row r="11" spans="1:6" x14ac:dyDescent="0.25">
      <c r="A11" s="17"/>
      <c r="B11" s="4" t="s">
        <v>531</v>
      </c>
      <c r="C11" s="6"/>
      <c r="D11" s="20">
        <v>46335</v>
      </c>
      <c r="E11" s="4"/>
      <c r="F11" s="4"/>
    </row>
    <row r="12" spans="1:6" x14ac:dyDescent="0.25">
      <c r="A12" s="17"/>
      <c r="B12" s="4" t="s">
        <v>532</v>
      </c>
      <c r="C12" s="6"/>
      <c r="D12" s="20">
        <v>46338</v>
      </c>
      <c r="E12" s="4"/>
      <c r="F12" s="4"/>
    </row>
    <row r="13" spans="1:6" x14ac:dyDescent="0.25">
      <c r="A13" s="17"/>
      <c r="B13" s="4" t="s">
        <v>533</v>
      </c>
      <c r="C13" s="6" t="s">
        <v>534</v>
      </c>
      <c r="D13" s="21">
        <v>1</v>
      </c>
      <c r="E13" s="4"/>
      <c r="F13" s="4"/>
    </row>
    <row r="14" spans="1:6" x14ac:dyDescent="0.25">
      <c r="A14" s="17"/>
      <c r="B14" s="4" t="s">
        <v>535</v>
      </c>
      <c r="C14" s="6" t="s">
        <v>536</v>
      </c>
      <c r="D14" s="7">
        <v>110</v>
      </c>
      <c r="E14" s="4"/>
      <c r="F14" s="4"/>
    </row>
    <row r="15" spans="1:6" x14ac:dyDescent="0.25">
      <c r="A15" s="17"/>
      <c r="B15" s="4" t="s">
        <v>537</v>
      </c>
      <c r="C15" s="6" t="s">
        <v>536</v>
      </c>
      <c r="D15" s="7">
        <v>68</v>
      </c>
      <c r="E15" s="4"/>
      <c r="F15" s="4"/>
    </row>
    <row r="16" spans="1:6" x14ac:dyDescent="0.25">
      <c r="A16" s="17"/>
      <c r="B16" s="4" t="s">
        <v>538</v>
      </c>
      <c r="C16" s="6" t="s">
        <v>539</v>
      </c>
      <c r="D16" s="7">
        <v>306</v>
      </c>
      <c r="E16" s="4"/>
      <c r="F16" s="4"/>
    </row>
    <row r="17" spans="1:6" x14ac:dyDescent="0.25">
      <c r="A17" s="17"/>
      <c r="B17" s="4" t="s">
        <v>540</v>
      </c>
      <c r="C17" s="6" t="s">
        <v>539</v>
      </c>
      <c r="D17" s="7">
        <v>368.25</v>
      </c>
      <c r="E17" s="4"/>
      <c r="F17" s="4"/>
    </row>
    <row r="18" spans="1:6" x14ac:dyDescent="0.25">
      <c r="A18" s="17"/>
      <c r="B18" s="4" t="s">
        <v>541</v>
      </c>
      <c r="C18" s="6" t="s">
        <v>542</v>
      </c>
      <c r="D18" s="7">
        <v>24</v>
      </c>
      <c r="E18" s="4"/>
      <c r="F18" s="4"/>
    </row>
    <row r="19" spans="1:6" x14ac:dyDescent="0.25">
      <c r="A19" s="17"/>
      <c r="B19" s="4" t="s">
        <v>543</v>
      </c>
      <c r="C19" s="6" t="s">
        <v>542</v>
      </c>
      <c r="D19" s="7">
        <v>38.25</v>
      </c>
      <c r="E19" s="4"/>
      <c r="F19" s="4"/>
    </row>
    <row r="20" spans="1:6" x14ac:dyDescent="0.25">
      <c r="A20" s="17"/>
      <c r="B20" s="4" t="s">
        <v>544</v>
      </c>
      <c r="C20" s="6" t="s">
        <v>545</v>
      </c>
      <c r="D20" s="7">
        <v>0</v>
      </c>
      <c r="E20" s="4"/>
      <c r="F20" s="4"/>
    </row>
    <row r="21" spans="1:6" x14ac:dyDescent="0.25">
      <c r="A21" s="17"/>
      <c r="B21" s="4" t="s">
        <v>546</v>
      </c>
      <c r="C21" s="6" t="s">
        <v>545</v>
      </c>
      <c r="D21" s="7">
        <v>0</v>
      </c>
      <c r="E21" s="4"/>
      <c r="F21" s="4"/>
    </row>
    <row r="22" spans="1:6" x14ac:dyDescent="0.25">
      <c r="A22" s="17"/>
      <c r="B22" s="4" t="s">
        <v>547</v>
      </c>
      <c r="C22" s="6" t="s">
        <v>545</v>
      </c>
      <c r="D22" s="7">
        <v>0</v>
      </c>
      <c r="E22" s="4"/>
      <c r="F22" s="4"/>
    </row>
    <row r="23" spans="1:6" x14ac:dyDescent="0.25">
      <c r="A23" s="17"/>
      <c r="B23" s="4" t="s">
        <v>548</v>
      </c>
      <c r="C23" s="6" t="s">
        <v>549</v>
      </c>
      <c r="D23" s="7">
        <v>0</v>
      </c>
      <c r="E23" s="4"/>
      <c r="F23" s="4"/>
    </row>
    <row r="24" spans="1:6" x14ac:dyDescent="0.25">
      <c r="A24" s="17"/>
      <c r="B24" s="4" t="s">
        <v>550</v>
      </c>
      <c r="C24" s="6" t="s">
        <v>549</v>
      </c>
      <c r="D24" s="7">
        <v>0</v>
      </c>
      <c r="E24" s="4"/>
      <c r="F24" s="4"/>
    </row>
    <row r="25" spans="1:6" x14ac:dyDescent="0.25">
      <c r="A25" s="17"/>
      <c r="B25" s="4" t="s">
        <v>551</v>
      </c>
      <c r="C25" s="6" t="s">
        <v>549</v>
      </c>
      <c r="D25" s="7">
        <v>0</v>
      </c>
      <c r="E25" s="4"/>
      <c r="F25" s="4"/>
    </row>
    <row r="26" spans="1:6" x14ac:dyDescent="0.25">
      <c r="A26" s="17"/>
      <c r="B26" s="4" t="s">
        <v>552</v>
      </c>
      <c r="C26" s="6" t="s">
        <v>549</v>
      </c>
      <c r="D26" s="7">
        <v>52.35</v>
      </c>
      <c r="E26" s="4"/>
      <c r="F26" s="4"/>
    </row>
    <row r="27" spans="1:6" x14ac:dyDescent="0.25">
      <c r="A27" s="17"/>
      <c r="B27" s="4" t="s">
        <v>553</v>
      </c>
      <c r="C27" s="6" t="s">
        <v>549</v>
      </c>
      <c r="D27" s="7">
        <v>36</v>
      </c>
      <c r="E27" s="4"/>
      <c r="F27" s="4"/>
    </row>
    <row r="28" spans="1:6" x14ac:dyDescent="0.25">
      <c r="A28" s="17"/>
      <c r="B28" s="4" t="s">
        <v>554</v>
      </c>
      <c r="C28" s="6" t="s">
        <v>549</v>
      </c>
      <c r="D28" s="7">
        <v>12.5</v>
      </c>
      <c r="E28" s="4"/>
      <c r="F28" s="4"/>
    </row>
    <row r="29" spans="1:6" x14ac:dyDescent="0.25">
      <c r="A29" s="17"/>
      <c r="B29" s="4" t="s">
        <v>555</v>
      </c>
      <c r="C29" s="6" t="s">
        <v>549</v>
      </c>
      <c r="D29" s="7">
        <v>0</v>
      </c>
      <c r="E29" s="4"/>
      <c r="F29" s="4"/>
    </row>
    <row r="30" spans="1:6" x14ac:dyDescent="0.25">
      <c r="A30" s="17"/>
      <c r="B30" s="4" t="s">
        <v>556</v>
      </c>
      <c r="C30" s="6" t="s">
        <v>549</v>
      </c>
      <c r="D30" s="7">
        <v>187.6</v>
      </c>
      <c r="E30" s="4"/>
      <c r="F30" s="4"/>
    </row>
    <row r="31" spans="1:6" x14ac:dyDescent="0.25">
      <c r="A31" s="4"/>
      <c r="B31" s="22" t="s">
        <v>557</v>
      </c>
      <c r="C31" s="22"/>
      <c r="D31" s="22"/>
      <c r="E31" s="22"/>
      <c r="F31" s="22"/>
    </row>
    <row r="32" spans="1:6" x14ac:dyDescent="0.25">
      <c r="A32" s="17"/>
      <c r="B32" s="4" t="s">
        <v>558</v>
      </c>
      <c r="C32" s="6" t="s">
        <v>559</v>
      </c>
      <c r="D32" s="7">
        <v>0</v>
      </c>
      <c r="E32" s="4"/>
      <c r="F32" s="4"/>
    </row>
    <row r="33" spans="1:6" x14ac:dyDescent="0.25">
      <c r="A33" s="17"/>
      <c r="B33" s="4" t="s">
        <v>560</v>
      </c>
      <c r="C33" s="6"/>
      <c r="D33" s="23">
        <v>0</v>
      </c>
      <c r="E33" s="4"/>
      <c r="F33" s="4"/>
    </row>
    <row r="34" spans="1:6" x14ac:dyDescent="0.25">
      <c r="A34" s="17"/>
      <c r="B34" s="4" t="s">
        <v>561</v>
      </c>
      <c r="C34" s="6"/>
      <c r="D34" s="7">
        <v>0</v>
      </c>
      <c r="E34" s="4"/>
      <c r="F34" s="4"/>
    </row>
    <row r="35" spans="1:6" x14ac:dyDescent="0.25">
      <c r="A35" s="17"/>
      <c r="B35" s="4" t="s">
        <v>562</v>
      </c>
      <c r="C35" s="6"/>
      <c r="D35" s="23">
        <v>0</v>
      </c>
      <c r="E35" s="4"/>
      <c r="F35" s="4"/>
    </row>
    <row r="36" spans="1:6" x14ac:dyDescent="0.25">
      <c r="A36" s="17"/>
      <c r="B36" s="4" t="s">
        <v>563</v>
      </c>
      <c r="C36" s="6"/>
      <c r="D36" s="7">
        <v>0</v>
      </c>
      <c r="E36" s="4"/>
      <c r="F36" s="4"/>
    </row>
    <row r="37" spans="1:6" x14ac:dyDescent="0.25">
      <c r="A37" s="17"/>
      <c r="B37" s="4" t="s">
        <v>564</v>
      </c>
      <c r="C37" s="6"/>
      <c r="D37" s="23">
        <v>0</v>
      </c>
      <c r="E37" s="4"/>
      <c r="F37" s="4"/>
    </row>
    <row r="38" spans="1:6" x14ac:dyDescent="0.25">
      <c r="A38" s="17"/>
      <c r="B38" s="4" t="s">
        <v>565</v>
      </c>
      <c r="C38" s="6"/>
      <c r="D38" s="7">
        <v>0</v>
      </c>
      <c r="E38" s="4"/>
      <c r="F38" s="4"/>
    </row>
    <row r="39" spans="1:6" x14ac:dyDescent="0.25">
      <c r="A39" s="17"/>
      <c r="B39" s="4" t="s">
        <v>566</v>
      </c>
      <c r="C39" s="6"/>
      <c r="D39" s="23">
        <v>0</v>
      </c>
      <c r="E39" s="4"/>
      <c r="F39" s="4"/>
    </row>
    <row r="40" spans="1:6" x14ac:dyDescent="0.25">
      <c r="A40" s="17"/>
      <c r="B40" s="4" t="s">
        <v>567</v>
      </c>
      <c r="C40" s="6" t="s">
        <v>568</v>
      </c>
      <c r="D40" s="21">
        <v>0</v>
      </c>
      <c r="E40" s="4"/>
      <c r="F40" s="4"/>
    </row>
    <row r="42" spans="1:13" x14ac:dyDescent="0.25">
      <c r="A42" s="3" t="s">
        <v>569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6" x14ac:dyDescent="0.25">
      <c r="A43" s="16" t="s">
        <v>517</v>
      </c>
      <c r="B43" s="16" t="s">
        <v>518</v>
      </c>
      <c r="C43" s="16" t="s">
        <v>519</v>
      </c>
      <c r="D43" s="16" t="s">
        <v>121</v>
      </c>
      <c r="E43" s="16"/>
      <c r="F43" s="16"/>
    </row>
    <row r="44" spans="1:6" x14ac:dyDescent="0.25">
      <c r="A44" s="17"/>
      <c r="B44" s="4" t="s">
        <v>61</v>
      </c>
      <c r="C44" s="6" t="s">
        <v>570</v>
      </c>
      <c r="D44" s="18">
        <f>MAX(0,D12-D11)</f>
        <v>3</v>
      </c>
      <c r="E44" s="4"/>
      <c r="F44" s="4"/>
    </row>
    <row r="45" spans="1:6" x14ac:dyDescent="0.25">
      <c r="A45" s="17"/>
      <c r="B45" s="4" t="s">
        <v>571</v>
      </c>
      <c r="C45" s="6" t="s">
        <v>572</v>
      </c>
      <c r="D45" s="18">
        <f>MAX(D44-1,0)</f>
        <v>2</v>
      </c>
      <c r="E45" s="4"/>
      <c r="F45" s="4"/>
    </row>
    <row r="46" spans="1:6" x14ac:dyDescent="0.25">
      <c r="A46" s="17"/>
      <c r="B46" s="4" t="s">
        <v>573</v>
      </c>
      <c r="C46" s="6" t="s">
        <v>574</v>
      </c>
      <c r="D46" s="24">
        <f>1.5*D15+D45*D15</f>
        <v>238</v>
      </c>
      <c r="E46" s="4"/>
      <c r="F46" s="4"/>
    </row>
    <row r="47" spans="1:6" x14ac:dyDescent="0.25">
      <c r="A47" s="17"/>
      <c r="B47" s="4" t="s">
        <v>575</v>
      </c>
      <c r="C47" s="6" t="s">
        <v>576</v>
      </c>
      <c r="D47" s="24">
        <f>D17+D20+D22+D21</f>
        <v>368.25</v>
      </c>
      <c r="E47" s="4"/>
      <c r="F47" s="4"/>
    </row>
    <row r="48" spans="1:6" x14ac:dyDescent="0.25">
      <c r="A48" s="17"/>
      <c r="B48" s="10" t="s">
        <v>66</v>
      </c>
      <c r="C48" s="6" t="s">
        <v>577</v>
      </c>
      <c r="D48" s="25">
        <f>D46+D47</f>
        <v>606.25</v>
      </c>
      <c r="E48" s="4"/>
      <c r="F48" s="4"/>
    </row>
    <row r="49" spans="1:6" x14ac:dyDescent="0.25">
      <c r="A49" s="17"/>
      <c r="B49" s="4" t="s">
        <v>578</v>
      </c>
      <c r="C49" s="6" t="s">
        <v>579</v>
      </c>
      <c r="D49" s="24">
        <f>D25+D26+D27+D28+D29+D30+D23+D24</f>
        <v>288.45</v>
      </c>
      <c r="E49" s="4"/>
      <c r="F49" s="4"/>
    </row>
    <row r="50" spans="1:6" x14ac:dyDescent="0.25">
      <c r="A50" s="17"/>
      <c r="B50" s="10" t="s">
        <v>68</v>
      </c>
      <c r="C50" s="6" t="s">
        <v>69</v>
      </c>
      <c r="D50" s="25">
        <f>D48*D13+D49</f>
        <v>894.7</v>
      </c>
      <c r="E50" s="4"/>
      <c r="F50" s="4"/>
    </row>
    <row r="51" spans="1:6" x14ac:dyDescent="0.25">
      <c r="A51" s="17"/>
      <c r="B51" s="4" t="s">
        <v>580</v>
      </c>
      <c r="C51" s="6" t="s">
        <v>581</v>
      </c>
      <c r="D51" s="24">
        <f>IF(1&lt;=D13,D32*D33,0)</f>
        <v>0</v>
      </c>
      <c r="E51" s="4"/>
      <c r="F51" s="4"/>
    </row>
    <row r="52" spans="1:6" x14ac:dyDescent="0.25">
      <c r="A52" s="17"/>
      <c r="B52" s="4" t="s">
        <v>582</v>
      </c>
      <c r="C52" s="6" t="s">
        <v>581</v>
      </c>
      <c r="D52" s="24">
        <f>IF(2&lt;=D13,D34*D35,0)</f>
        <v>0</v>
      </c>
      <c r="E52" s="4"/>
      <c r="F52" s="4"/>
    </row>
    <row r="53" spans="1:6" x14ac:dyDescent="0.25">
      <c r="A53" s="17"/>
      <c r="B53" s="4" t="s">
        <v>583</v>
      </c>
      <c r="C53" s="6" t="s">
        <v>581</v>
      </c>
      <c r="D53" s="24">
        <f>IF(3&lt;=D13,D36*D37,0)</f>
        <v>0</v>
      </c>
      <c r="E53" s="4"/>
      <c r="F53" s="4"/>
    </row>
    <row r="54" spans="1:6" x14ac:dyDescent="0.25">
      <c r="A54" s="17"/>
      <c r="B54" s="4" t="s">
        <v>584</v>
      </c>
      <c r="C54" s="6" t="s">
        <v>581</v>
      </c>
      <c r="D54" s="24">
        <f>IF(4&lt;=D13,D38*D39,0)</f>
        <v>0</v>
      </c>
      <c r="E54" s="4"/>
      <c r="F54" s="4"/>
    </row>
    <row r="55" spans="1:6" x14ac:dyDescent="0.25">
      <c r="A55" s="17"/>
      <c r="B55" s="10" t="s">
        <v>71</v>
      </c>
      <c r="C55" s="6" t="s">
        <v>585</v>
      </c>
      <c r="D55" s="25">
        <f>SUM(D51:D54)</f>
        <v>0</v>
      </c>
      <c r="E55" s="4"/>
      <c r="F55" s="4"/>
    </row>
    <row r="56" spans="1:6" x14ac:dyDescent="0.25">
      <c r="A56" s="17"/>
      <c r="B56" s="10" t="s">
        <v>586</v>
      </c>
      <c r="C56" s="6" t="s">
        <v>587</v>
      </c>
      <c r="D56" s="25">
        <f>D50+D55</f>
        <v>894.7</v>
      </c>
      <c r="E56" s="4"/>
      <c r="F56" s="4"/>
    </row>
    <row r="57" spans="1:6" x14ac:dyDescent="0.25">
      <c r="A57" s="4"/>
      <c r="B57" s="22" t="s">
        <v>588</v>
      </c>
      <c r="C57" s="22" t="s">
        <v>589</v>
      </c>
      <c r="D57" s="22"/>
      <c r="E57" s="22"/>
      <c r="F57" s="22"/>
    </row>
    <row r="58" spans="1:6" x14ac:dyDescent="0.25">
      <c r="A58" s="17"/>
      <c r="B58" s="4" t="s">
        <v>590</v>
      </c>
      <c r="C58" s="6" t="s">
        <v>591</v>
      </c>
      <c r="D58" s="24">
        <f>ROUND(D17*Setup!$C$5,2)</f>
        <v>415.17</v>
      </c>
      <c r="E58" s="4"/>
      <c r="F58" s="4"/>
    </row>
    <row r="59" spans="1:6" x14ac:dyDescent="0.25">
      <c r="A59" s="17"/>
      <c r="B59" s="4" t="s">
        <v>544</v>
      </c>
      <c r="C59" s="6" t="s">
        <v>592</v>
      </c>
      <c r="D59" s="24">
        <f>ROUND(D20*Setup!$C$5,2)</f>
        <v>0</v>
      </c>
      <c r="E59" s="4"/>
      <c r="F59" s="4"/>
    </row>
    <row r="60" spans="1:6" x14ac:dyDescent="0.25">
      <c r="A60" s="17"/>
      <c r="B60" s="4" t="s">
        <v>546</v>
      </c>
      <c r="C60" s="6" t="s">
        <v>593</v>
      </c>
      <c r="D60" s="24">
        <f>ROUND(D21*Setup!$C$5,2)</f>
        <v>0</v>
      </c>
      <c r="E60" s="4"/>
      <c r="F60" s="4"/>
    </row>
    <row r="61" spans="1:6" x14ac:dyDescent="0.25">
      <c r="A61" s="17"/>
      <c r="B61" s="4" t="s">
        <v>547</v>
      </c>
      <c r="C61" s="6" t="s">
        <v>594</v>
      </c>
      <c r="D61" s="24">
        <f>ROUND(D22*Setup!$C$5,2)</f>
        <v>0</v>
      </c>
      <c r="E61" s="4"/>
      <c r="F61" s="4"/>
    </row>
    <row r="62" spans="1:6" x14ac:dyDescent="0.25">
      <c r="A62" s="17"/>
      <c r="B62" s="4" t="s">
        <v>551</v>
      </c>
      <c r="C62" s="6" t="s">
        <v>595</v>
      </c>
      <c r="D62" s="24">
        <f>ROUND(D25*Setup!$C$5,2)</f>
        <v>0</v>
      </c>
      <c r="E62" s="4"/>
      <c r="F62" s="4"/>
    </row>
    <row r="63" spans="1:6" x14ac:dyDescent="0.25">
      <c r="A63" s="17"/>
      <c r="B63" s="4" t="s">
        <v>552</v>
      </c>
      <c r="C63" s="6" t="s">
        <v>596</v>
      </c>
      <c r="D63" s="24">
        <f>ROUND(D26*Setup!$C$5,2)</f>
        <v>59.02</v>
      </c>
      <c r="E63" s="4"/>
      <c r="F63" s="4"/>
    </row>
    <row r="64" spans="1:6" x14ac:dyDescent="0.25">
      <c r="A64" s="17"/>
      <c r="B64" s="4" t="s">
        <v>553</v>
      </c>
      <c r="C64" s="6" t="s">
        <v>597</v>
      </c>
      <c r="D64" s="24">
        <f>ROUND(D27*Setup!$C$5,2)</f>
        <v>40.59</v>
      </c>
      <c r="E64" s="4"/>
      <c r="F64" s="4"/>
    </row>
    <row r="65" spans="1:6" x14ac:dyDescent="0.25">
      <c r="A65" s="17"/>
      <c r="B65" s="4" t="s">
        <v>554</v>
      </c>
      <c r="C65" s="6" t="s">
        <v>598</v>
      </c>
      <c r="D65" s="24">
        <f>ROUND(D28*Setup!$C$5,2)</f>
        <v>14.09</v>
      </c>
      <c r="E65" s="4"/>
      <c r="F65" s="4"/>
    </row>
    <row r="66" spans="1:6" x14ac:dyDescent="0.25">
      <c r="A66" s="17"/>
      <c r="B66" s="4" t="s">
        <v>555</v>
      </c>
      <c r="C66" s="6" t="s">
        <v>599</v>
      </c>
      <c r="D66" s="24">
        <f>ROUND(D29*Setup!$C$5,2)</f>
        <v>0</v>
      </c>
      <c r="E66" s="4"/>
      <c r="F66" s="4"/>
    </row>
    <row r="67" spans="1:6" x14ac:dyDescent="0.25">
      <c r="A67" s="17"/>
      <c r="B67" s="4" t="s">
        <v>556</v>
      </c>
      <c r="C67" s="6" t="s">
        <v>600</v>
      </c>
      <c r="D67" s="24">
        <f>ROUND(D30*Setup!$C$5,2)</f>
        <v>211.5</v>
      </c>
      <c r="E67" s="4"/>
      <c r="F67" s="4"/>
    </row>
    <row r="68" spans="1:6" x14ac:dyDescent="0.25">
      <c r="A68" s="17"/>
      <c r="B68" s="4" t="s">
        <v>548</v>
      </c>
      <c r="C68" s="6" t="s">
        <v>601</v>
      </c>
      <c r="D68" s="24">
        <f>ROUND(D23*Setup!$C$5,2)</f>
        <v>0</v>
      </c>
      <c r="E68" s="4"/>
      <c r="F68" s="4"/>
    </row>
    <row r="69" spans="1:6" x14ac:dyDescent="0.25">
      <c r="A69" s="17"/>
      <c r="B69" s="4" t="s">
        <v>550</v>
      </c>
      <c r="C69" s="6" t="s">
        <v>602</v>
      </c>
      <c r="D69" s="24">
        <f>ROUND(D24*Setup!$C$5,2)</f>
        <v>0</v>
      </c>
      <c r="E69" s="4"/>
      <c r="F69" s="4"/>
    </row>
    <row r="70" spans="1:6" x14ac:dyDescent="0.25">
      <c r="A70" s="17"/>
      <c r="B70" s="4" t="s">
        <v>603</v>
      </c>
      <c r="C70" s="6" t="s">
        <v>604</v>
      </c>
      <c r="D70" s="24">
        <f>(D58+D59+D61+D60)*D13+D62+D63+D64+D65+D66+D67+D68+D69</f>
        <v>740.37</v>
      </c>
      <c r="E70" s="4"/>
      <c r="F70" s="4"/>
    </row>
    <row r="71" spans="1:6" x14ac:dyDescent="0.25">
      <c r="A71" s="17"/>
      <c r="B71" s="4" t="s">
        <v>605</v>
      </c>
      <c r="C71" s="6" t="s">
        <v>606</v>
      </c>
      <c r="D71" s="24">
        <f>D46*D13</f>
        <v>238</v>
      </c>
      <c r="E71" s="4"/>
      <c r="F71" s="4"/>
    </row>
    <row r="72" spans="1:6" x14ac:dyDescent="0.25">
      <c r="A72" s="17"/>
      <c r="B72" s="10" t="s">
        <v>74</v>
      </c>
      <c r="C72" s="6" t="s">
        <v>607</v>
      </c>
      <c r="D72" s="25">
        <f>D70+D71</f>
        <v>978.37</v>
      </c>
      <c r="E72" s="4"/>
      <c r="F72" s="4"/>
    </row>
    <row r="73" spans="1:6" x14ac:dyDescent="0.25">
      <c r="A73" s="17"/>
      <c r="B73" s="10" t="s">
        <v>76</v>
      </c>
      <c r="C73" s="6" t="s">
        <v>77</v>
      </c>
      <c r="D73" s="25">
        <f>D72+D55</f>
        <v>978.37</v>
      </c>
      <c r="E73" s="4"/>
      <c r="F73" s="4"/>
    </row>
    <row r="74" spans="1:6" x14ac:dyDescent="0.25">
      <c r="A74" s="17"/>
      <c r="B74" s="4" t="s">
        <v>608</v>
      </c>
      <c r="C74" s="6" t="s">
        <v>609</v>
      </c>
      <c r="D74" s="24">
        <f>D73-D56</f>
        <v>83.67</v>
      </c>
      <c r="E74" s="4"/>
      <c r="F74" s="4"/>
    </row>
    <row r="75" spans="1:6" x14ac:dyDescent="0.25">
      <c r="A75" s="17"/>
      <c r="B75" s="4" t="s">
        <v>610</v>
      </c>
      <c r="C75" s="6" t="s">
        <v>611</v>
      </c>
      <c r="D75" s="24">
        <f>D50+D40*D55</f>
        <v>894.7</v>
      </c>
      <c r="E75" s="4"/>
      <c r="F75" s="4"/>
    </row>
    <row r="76" spans="1:6" x14ac:dyDescent="0.25">
      <c r="A76" s="17"/>
      <c r="B76" s="4" t="s">
        <v>612</v>
      </c>
      <c r="C76" s="6" t="s">
        <v>613</v>
      </c>
      <c r="D76" s="24">
        <f>IF(D44&gt;0,D16/D44,0)</f>
        <v>102</v>
      </c>
      <c r="E76" s="4"/>
      <c r="F76" s="4"/>
    </row>
    <row r="77" spans="1:6" x14ac:dyDescent="0.25">
      <c r="A77" s="17"/>
      <c r="B77" s="4" t="s">
        <v>614</v>
      </c>
      <c r="C77" s="6" t="s">
        <v>615</v>
      </c>
      <c r="D77" s="12" t="str">
        <f>IF(AND(D44&gt;0,D76&gt;D14),"YES","No")</f>
        <v>No</v>
      </c>
      <c r="E77" s="4"/>
      <c r="F77" s="4"/>
    </row>
    <row r="78" spans="1:6" x14ac:dyDescent="0.25">
      <c r="A78" s="17"/>
      <c r="B78" s="4" t="s">
        <v>616</v>
      </c>
      <c r="C78" s="6" t="s">
        <v>617</v>
      </c>
      <c r="D78" s="24">
        <f>IF(D44&gt;0,D17/D44,0)</f>
        <v>122.75</v>
      </c>
      <c r="E78" s="4"/>
      <c r="F78" s="4"/>
    </row>
    <row r="79" spans="1:6" x14ac:dyDescent="0.25">
      <c r="A79" s="17"/>
      <c r="B79" s="4" t="s">
        <v>618</v>
      </c>
      <c r="C79" s="6" t="s">
        <v>619</v>
      </c>
      <c r="D79" s="24">
        <f>ROUND(D16+D18+D19-D17,2)</f>
        <v>0</v>
      </c>
      <c r="E79" s="4"/>
      <c r="F79" s="4"/>
    </row>
    <row r="80" spans="1:6" x14ac:dyDescent="0.25">
      <c r="A80" s="17"/>
      <c r="B80" s="4" t="s">
        <v>620</v>
      </c>
      <c r="C80" s="6" t="s">
        <v>621</v>
      </c>
      <c r="D80" s="24">
        <f>D46+D58+D59+D61+D60</f>
        <v>653.17</v>
      </c>
      <c r="E80" s="4"/>
      <c r="F80" s="4"/>
    </row>
    <row r="82" spans="1:13" x14ac:dyDescent="0.25">
      <c r="A82" s="3" t="s">
        <v>622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6" x14ac:dyDescent="0.25">
      <c r="A83" s="16" t="s">
        <v>517</v>
      </c>
      <c r="B83" s="16" t="s">
        <v>518</v>
      </c>
      <c r="C83" s="16" t="s">
        <v>519</v>
      </c>
      <c r="D83" s="16" t="s">
        <v>623</v>
      </c>
      <c r="E83" s="16" t="s">
        <v>624</v>
      </c>
      <c r="F83" s="16" t="s">
        <v>625</v>
      </c>
    </row>
    <row r="84" spans="1:6" x14ac:dyDescent="0.25">
      <c r="A84" s="17" t="s">
        <v>626</v>
      </c>
      <c r="B84" s="4" t="s">
        <v>61</v>
      </c>
      <c r="C84" s="6" t="s">
        <v>627</v>
      </c>
      <c r="D84" s="18">
        <f>D44</f>
        <v>3</v>
      </c>
      <c r="E84" s="26"/>
      <c r="F84" s="27" t="str">
        <f>IF(E84="","",IF(ABS(E84-D84)&lt;=Setup!$C$6,"PASS","FAIL"))</f>
        <v/>
      </c>
    </row>
    <row r="85" spans="1:6" x14ac:dyDescent="0.25">
      <c r="A85" s="17" t="s">
        <v>628</v>
      </c>
      <c r="B85" s="4" t="s">
        <v>571</v>
      </c>
      <c r="C85" s="6" t="s">
        <v>627</v>
      </c>
      <c r="D85" s="18">
        <f>D45</f>
        <v>2</v>
      </c>
      <c r="E85" s="26"/>
      <c r="F85" s="27" t="str">
        <f>IF(E85="","",IF(ABS(E85-D85)&lt;=Setup!$C$6,"PASS","FAIL"))</f>
        <v/>
      </c>
    </row>
    <row r="86" spans="1:6" x14ac:dyDescent="0.25">
      <c r="A86" s="17" t="s">
        <v>629</v>
      </c>
      <c r="B86" s="4" t="s">
        <v>630</v>
      </c>
      <c r="C86" s="6" t="s">
        <v>627</v>
      </c>
      <c r="D86" s="24">
        <f>D46</f>
        <v>238</v>
      </c>
      <c r="E86" s="28"/>
      <c r="F86" s="27" t="str">
        <f>IF(E86="","",IF(ABS(E86-D86)&lt;=Setup!$C$6,"PASS","FAIL"))</f>
        <v/>
      </c>
    </row>
    <row r="87" spans="1:6" x14ac:dyDescent="0.25">
      <c r="A87" s="17" t="s">
        <v>631</v>
      </c>
      <c r="B87" s="4" t="s">
        <v>66</v>
      </c>
      <c r="C87" s="6" t="s">
        <v>627</v>
      </c>
      <c r="D87" s="24">
        <f>D48</f>
        <v>606.25</v>
      </c>
      <c r="E87" s="28"/>
      <c r="F87" s="27" t="str">
        <f>IF(E87="","",IF(ABS(E87-D87)&lt;=Setup!$C$6,"PASS","FAIL"))</f>
        <v/>
      </c>
    </row>
    <row r="88" spans="1:6" x14ac:dyDescent="0.25">
      <c r="A88" s="17" t="s">
        <v>632</v>
      </c>
      <c r="B88" s="4" t="s">
        <v>68</v>
      </c>
      <c r="C88" s="6" t="s">
        <v>627</v>
      </c>
      <c r="D88" s="24">
        <f>D50</f>
        <v>894.7</v>
      </c>
      <c r="E88" s="28"/>
      <c r="F88" s="27" t="str">
        <f>IF(E88="","",IF(ABS(E88-D88)&lt;=Setup!$C$6,"PASS","FAIL"))</f>
        <v/>
      </c>
    </row>
    <row r="89" spans="1:6" x14ac:dyDescent="0.25">
      <c r="A89" s="17" t="s">
        <v>633</v>
      </c>
      <c r="B89" s="4" t="s">
        <v>634</v>
      </c>
      <c r="C89" s="6" t="s">
        <v>635</v>
      </c>
      <c r="D89" s="24">
        <f>D75</f>
        <v>894.7</v>
      </c>
      <c r="E89" s="28"/>
      <c r="F89" s="27" t="str">
        <f>IF(E89="","",IF(ABS(E89-D89)&lt;=Setup!$C$6,"PASS","FAIL"))</f>
        <v/>
      </c>
    </row>
    <row r="90" spans="1:6" x14ac:dyDescent="0.25">
      <c r="A90" s="17" t="s">
        <v>636</v>
      </c>
      <c r="B90" s="4" t="s">
        <v>66</v>
      </c>
      <c r="C90" s="6" t="s">
        <v>88</v>
      </c>
      <c r="D90" s="24">
        <f>D48</f>
        <v>606.25</v>
      </c>
      <c r="E90" s="28"/>
      <c r="F90" s="27" t="str">
        <f>IF(E90="","",IF(ABS(E90-D90)&lt;=Setup!$C$6,"PASS","FAIL"))</f>
        <v/>
      </c>
    </row>
    <row r="91" spans="1:6" x14ac:dyDescent="0.25">
      <c r="A91" s="17" t="s">
        <v>637</v>
      </c>
      <c r="B91" s="4" t="s">
        <v>68</v>
      </c>
      <c r="C91" s="6" t="s">
        <v>88</v>
      </c>
      <c r="D91" s="24">
        <f>D50</f>
        <v>894.7</v>
      </c>
      <c r="E91" s="28"/>
      <c r="F91" s="27" t="str">
        <f>IF(E91="","",IF(ABS(E91-D91)&lt;=Setup!$C$6,"PASS","FAIL"))</f>
        <v/>
      </c>
    </row>
    <row r="92" spans="1:6" x14ac:dyDescent="0.25">
      <c r="A92" s="17" t="s">
        <v>638</v>
      </c>
      <c r="B92" s="4" t="s">
        <v>71</v>
      </c>
      <c r="C92" s="6" t="s">
        <v>639</v>
      </c>
      <c r="D92" s="24">
        <f>D55</f>
        <v>0</v>
      </c>
      <c r="E92" s="28"/>
      <c r="F92" s="27" t="str">
        <f>IF(E92="","",IF(ABS(E92-D92)&lt;=Setup!$C$6,"PASS","FAIL"))</f>
        <v/>
      </c>
    </row>
    <row r="93" spans="1:6" x14ac:dyDescent="0.25">
      <c r="A93" s="17" t="s">
        <v>640</v>
      </c>
      <c r="B93" s="4" t="s">
        <v>586</v>
      </c>
      <c r="C93" s="6" t="s">
        <v>88</v>
      </c>
      <c r="D93" s="24">
        <f>D56</f>
        <v>894.7</v>
      </c>
      <c r="E93" s="28"/>
      <c r="F93" s="27" t="str">
        <f>IF(E93="","",IF(ABS(E93-D93)&lt;=Setup!$C$6,"PASS","FAIL"))</f>
        <v/>
      </c>
    </row>
    <row r="94" spans="1:6" x14ac:dyDescent="0.25">
      <c r="A94" s="17" t="s">
        <v>641</v>
      </c>
      <c r="B94" s="4" t="s">
        <v>74</v>
      </c>
      <c r="C94" s="6" t="s">
        <v>88</v>
      </c>
      <c r="D94" s="24">
        <f>D72</f>
        <v>978.37</v>
      </c>
      <c r="E94" s="28"/>
      <c r="F94" s="27" t="str">
        <f>IF(E94="","",IF(ABS(E94-D94)&lt;=Setup!$C$6,"PASS","FAIL"))</f>
        <v/>
      </c>
    </row>
    <row r="95" spans="1:6" x14ac:dyDescent="0.25">
      <c r="A95" s="17" t="s">
        <v>642</v>
      </c>
      <c r="B95" s="4" t="s">
        <v>76</v>
      </c>
      <c r="C95" s="6" t="s">
        <v>88</v>
      </c>
      <c r="D95" s="24">
        <f>D73</f>
        <v>978.37</v>
      </c>
      <c r="E95" s="28"/>
      <c r="F95" s="27" t="str">
        <f>IF(E95="","",IF(ABS(E95-D95)&lt;=Setup!$C$6,"PASS","FAIL"))</f>
        <v/>
      </c>
    </row>
    <row r="96" spans="1:6" x14ac:dyDescent="0.25">
      <c r="A96" s="17" t="s">
        <v>643</v>
      </c>
      <c r="B96" s="4" t="s">
        <v>644</v>
      </c>
      <c r="C96" s="6" t="s">
        <v>645</v>
      </c>
      <c r="D96" s="24">
        <f>D58</f>
        <v>415.17</v>
      </c>
      <c r="E96" s="28"/>
      <c r="F96" s="27" t="str">
        <f>IF(E96="","",IF(ABS(E96-D96)&lt;=Setup!$C$6,"PASS","FAIL"))</f>
        <v/>
      </c>
    </row>
    <row r="97" spans="1:6" x14ac:dyDescent="0.25">
      <c r="A97" s="17" t="s">
        <v>646</v>
      </c>
      <c r="B97" s="4" t="s">
        <v>647</v>
      </c>
      <c r="C97" s="6" t="s">
        <v>645</v>
      </c>
      <c r="D97" s="24">
        <f>D63</f>
        <v>59.02</v>
      </c>
      <c r="E97" s="28"/>
      <c r="F97" s="27" t="str">
        <f>IF(E97="","",IF(ABS(E97-D97)&lt;=Setup!$C$6,"PASS","FAIL"))</f>
        <v/>
      </c>
    </row>
    <row r="98" spans="1:6" x14ac:dyDescent="0.25">
      <c r="A98" s="17" t="s">
        <v>648</v>
      </c>
      <c r="B98" s="4" t="s">
        <v>649</v>
      </c>
      <c r="C98" s="6" t="s">
        <v>645</v>
      </c>
      <c r="D98" s="24">
        <f>D64</f>
        <v>40.59</v>
      </c>
      <c r="E98" s="28"/>
      <c r="F98" s="27" t="str">
        <f>IF(E98="","",IF(ABS(E98-D98)&lt;=Setup!$C$6,"PASS","FAIL"))</f>
        <v/>
      </c>
    </row>
    <row r="99" spans="1:6" x14ac:dyDescent="0.25">
      <c r="A99" s="17" t="s">
        <v>650</v>
      </c>
      <c r="B99" s="4" t="s">
        <v>651</v>
      </c>
      <c r="C99" s="6" t="s">
        <v>645</v>
      </c>
      <c r="D99" s="24">
        <f>D65</f>
        <v>14.09</v>
      </c>
      <c r="E99" s="28"/>
      <c r="F99" s="27" t="str">
        <f>IF(E99="","",IF(ABS(E99-D99)&lt;=Setup!$C$6,"PASS","FAIL"))</f>
        <v/>
      </c>
    </row>
    <row r="100" spans="1:6" x14ac:dyDescent="0.25">
      <c r="A100" s="17" t="s">
        <v>652</v>
      </c>
      <c r="B100" s="4" t="s">
        <v>653</v>
      </c>
      <c r="C100" s="6" t="s">
        <v>645</v>
      </c>
      <c r="D100" s="24">
        <f>D67</f>
        <v>211.5</v>
      </c>
      <c r="E100" s="28"/>
      <c r="F100" s="27" t="str">
        <f>IF(E100="","",IF(ABS(E100-D100)&lt;=Setup!$C$6,"PASS","FAIL"))</f>
        <v/>
      </c>
    </row>
    <row r="101" spans="1:6" x14ac:dyDescent="0.25">
      <c r="A101" s="17" t="s">
        <v>654</v>
      </c>
      <c r="B101" s="4" t="s">
        <v>655</v>
      </c>
      <c r="C101" s="6" t="s">
        <v>656</v>
      </c>
      <c r="D101" s="24">
        <f>D56</f>
        <v>894.7</v>
      </c>
      <c r="E101" s="28"/>
      <c r="F101" s="27" t="str">
        <f>IF(E101="","",IF(ABS(E101-D101)&lt;=Setup!$C$6,"PASS","FAIL"))</f>
        <v/>
      </c>
    </row>
    <row r="102" spans="1:6" x14ac:dyDescent="0.25">
      <c r="A102" s="17" t="s">
        <v>657</v>
      </c>
      <c r="B102" s="4" t="s">
        <v>658</v>
      </c>
      <c r="C102" s="6" t="s">
        <v>659</v>
      </c>
      <c r="D102" s="24">
        <f>D73</f>
        <v>978.37</v>
      </c>
      <c r="E102" s="28"/>
      <c r="F102" s="27" t="str">
        <f>IF(E102="","",IF(ABS(E102-D102)&lt;=Setup!$C$6,"PASS","FAIL"))</f>
        <v/>
      </c>
    </row>
    <row r="103" spans="1:6" x14ac:dyDescent="0.25">
      <c r="A103" s="17" t="s">
        <v>660</v>
      </c>
      <c r="B103" s="4" t="s">
        <v>66</v>
      </c>
      <c r="C103" s="6" t="s">
        <v>93</v>
      </c>
      <c r="D103" s="24">
        <f>D80</f>
        <v>653.17</v>
      </c>
      <c r="E103" s="28"/>
      <c r="F103" s="27" t="str">
        <f>IF(E103="","",IF(ABS(E103-D103)&lt;=Setup!$C$6,"PASS","FAIL"))</f>
        <v/>
      </c>
    </row>
    <row r="104" spans="1:6" x14ac:dyDescent="0.25">
      <c r="A104" s="17" t="s">
        <v>661</v>
      </c>
      <c r="B104" s="4" t="s">
        <v>68</v>
      </c>
      <c r="C104" s="6" t="s">
        <v>93</v>
      </c>
      <c r="D104" s="24">
        <f>D72</f>
        <v>978.37</v>
      </c>
      <c r="E104" s="28"/>
      <c r="F104" s="27" t="str">
        <f>IF(E104="","",IF(ABS(E104-D104)&lt;=Setup!$C$6,"PASS","FAIL"))</f>
        <v/>
      </c>
    </row>
    <row r="105" spans="1:6" x14ac:dyDescent="0.25">
      <c r="A105" s="17" t="s">
        <v>662</v>
      </c>
      <c r="B105" s="4" t="s">
        <v>71</v>
      </c>
      <c r="C105" s="6" t="s">
        <v>93</v>
      </c>
      <c r="D105" s="24">
        <f>D55</f>
        <v>0</v>
      </c>
      <c r="E105" s="28"/>
      <c r="F105" s="27" t="str">
        <f>IF(E105="","",IF(ABS(E105-D105)&lt;=Setup!$C$6,"PASS","FAIL"))</f>
        <v/>
      </c>
    </row>
    <row r="106" spans="1:6" x14ac:dyDescent="0.25">
      <c r="A106" s="17" t="s">
        <v>663</v>
      </c>
      <c r="B106" s="4" t="s">
        <v>664</v>
      </c>
      <c r="C106" s="6" t="s">
        <v>93</v>
      </c>
      <c r="D106" s="24">
        <f>D73</f>
        <v>978.37</v>
      </c>
      <c r="E106" s="28"/>
      <c r="F106" s="27" t="str">
        <f>IF(E106="","",IF(ABS(E106-D106)&lt;=Setup!$C$6,"PASS","FAIL"))</f>
        <v/>
      </c>
    </row>
    <row r="107" spans="1:6" x14ac:dyDescent="0.25">
      <c r="A107" s="17" t="s">
        <v>665</v>
      </c>
      <c r="B107" s="4" t="s">
        <v>666</v>
      </c>
      <c r="C107" s="6" t="s">
        <v>667</v>
      </c>
      <c r="D107" s="24">
        <f>D76</f>
        <v>102</v>
      </c>
      <c r="E107" s="28"/>
      <c r="F107" s="27" t="str">
        <f>IF(E107="","",IF(ABS(E107-D107)&lt;=Setup!$C$6,"PASS","FAIL"))</f>
        <v/>
      </c>
    </row>
    <row r="108" spans="1:6" x14ac:dyDescent="0.25">
      <c r="A108" s="17" t="s">
        <v>668</v>
      </c>
      <c r="B108" s="4" t="s">
        <v>669</v>
      </c>
      <c r="C108" s="6" t="s">
        <v>83</v>
      </c>
      <c r="D108" s="12" t="str">
        <f>D77</f>
        <v>No</v>
      </c>
      <c r="E108" s="9"/>
      <c r="F108" s="27" t="str">
        <f>IF(E108="","",IF(UPPER(E108)=UPPER(D108),"PASS","FAIL"))</f>
        <v/>
      </c>
    </row>
    <row r="109" spans="1:6" x14ac:dyDescent="0.25">
      <c r="A109" s="17" t="s">
        <v>670</v>
      </c>
      <c r="B109" s="4" t="s">
        <v>616</v>
      </c>
      <c r="C109" s="6" t="s">
        <v>671</v>
      </c>
      <c r="D109" s="24">
        <f>D78</f>
        <v>122.75</v>
      </c>
      <c r="E109" s="15"/>
      <c r="F109" s="15" t="s">
        <v>672</v>
      </c>
    </row>
    <row r="110" spans="2:2" x14ac:dyDescent="0.25">
      <c r="B110" s="2" t="s">
        <v>673</v>
      </c>
    </row>
    <row r="112" spans="1:13" x14ac:dyDescent="0.25">
      <c r="A112" s="3" t="s">
        <v>674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spans="1:6" x14ac:dyDescent="0.25">
      <c r="A113" s="16" t="s">
        <v>517</v>
      </c>
      <c r="B113" s="16" t="s">
        <v>675</v>
      </c>
      <c r="C113" s="16" t="s">
        <v>676</v>
      </c>
      <c r="D113" s="16" t="s">
        <v>677</v>
      </c>
      <c r="E113" s="16" t="s">
        <v>624</v>
      </c>
      <c r="F113" s="16" t="s">
        <v>625</v>
      </c>
    </row>
    <row r="114" spans="1:6" x14ac:dyDescent="0.25">
      <c r="A114" s="17"/>
      <c r="B114" s="4" t="s">
        <v>678</v>
      </c>
      <c r="C114" s="6" t="s">
        <v>679</v>
      </c>
      <c r="D114" s="20">
        <v>46335</v>
      </c>
      <c r="E114" s="4"/>
      <c r="F114" s="4"/>
    </row>
    <row r="115" spans="1:6" x14ac:dyDescent="0.25">
      <c r="A115" s="17"/>
      <c r="B115" s="4" t="s">
        <v>680</v>
      </c>
      <c r="C115" s="6"/>
      <c r="D115" s="20">
        <v>46338</v>
      </c>
      <c r="E115" s="4"/>
      <c r="F115" s="4"/>
    </row>
    <row r="116" spans="1:6" x14ac:dyDescent="0.25">
      <c r="A116" s="17"/>
      <c r="B116" s="4" t="s">
        <v>681</v>
      </c>
      <c r="C116" s="6" t="s">
        <v>682</v>
      </c>
      <c r="D116" s="21">
        <v>1</v>
      </c>
      <c r="E116" s="4"/>
      <c r="F116" s="4"/>
    </row>
    <row r="117" spans="1:6" x14ac:dyDescent="0.25">
      <c r="A117" s="17"/>
      <c r="B117" s="4" t="s">
        <v>537</v>
      </c>
      <c r="C117" s="6" t="s">
        <v>682</v>
      </c>
      <c r="D117" s="7">
        <v>68</v>
      </c>
      <c r="E117" s="4"/>
      <c r="F117" s="4"/>
    </row>
    <row r="119" spans="1:13" x14ac:dyDescent="0.25">
      <c r="A119" s="16" t="s">
        <v>517</v>
      </c>
      <c r="B119" s="16" t="s">
        <v>683</v>
      </c>
      <c r="C119" s="16" t="s">
        <v>684</v>
      </c>
      <c r="D119" s="16" t="s">
        <v>685</v>
      </c>
      <c r="E119" s="16" t="s">
        <v>686</v>
      </c>
      <c r="F119" s="16" t="s">
        <v>687</v>
      </c>
      <c r="G119" s="16" t="s">
        <v>688</v>
      </c>
      <c r="H119" s="16" t="s">
        <v>689</v>
      </c>
      <c r="I119" s="16" t="s">
        <v>690</v>
      </c>
      <c r="J119" s="16" t="s">
        <v>691</v>
      </c>
      <c r="K119" s="16" t="s">
        <v>692</v>
      </c>
      <c r="L119" s="16" t="s">
        <v>625</v>
      </c>
      <c r="M119" s="16" t="s">
        <v>693</v>
      </c>
    </row>
    <row r="120" spans="1:13" x14ac:dyDescent="0.25">
      <c r="A120" s="17" t="s">
        <v>694</v>
      </c>
      <c r="B120" s="4" t="s">
        <v>695</v>
      </c>
      <c r="C120" s="12" t="str">
        <f>IF(D120&gt;0,"Main Actual Costs grid",IF(E120&gt;0,"Additional Expenses section","Not shown on the form"))</f>
        <v>Main Actual Costs grid</v>
      </c>
      <c r="D120" s="24">
        <f>D17</f>
        <v>368.25</v>
      </c>
      <c r="E120" s="7">
        <v>372.1</v>
      </c>
      <c r="F120" s="29">
        <f>E120-D120</f>
        <v>3.85</v>
      </c>
      <c r="G120" s="30">
        <f>IF(D120&gt;0,(E120-D120)/D120,0)</f>
        <v>0.010454854039</v>
      </c>
      <c r="H120" s="17" t="str">
        <f>IF(AND(D120&gt;0,E120&gt;D120*1.1),"Y","N")</f>
        <v>N</v>
      </c>
      <c r="I120" s="17" t="str">
        <f>IF(AND(D120=0,E120&gt;0),"Y","N")</f>
        <v>N</v>
      </c>
      <c r="J120" s="17" t="str">
        <f>IF(OR(H120="Y",I120="Y"),"Y","N")</f>
        <v>N</v>
      </c>
      <c r="K120" s="9"/>
      <c r="L120" s="27" t="str">
        <f>IF(LEFT(C120,3)="Not","n/a",IF(K120="","",IF(UPPER(K120)=J120,"PASS","FAIL")))</f>
        <v/>
      </c>
      <c r="M120" s="9"/>
    </row>
    <row r="121" spans="1:13" x14ac:dyDescent="0.25">
      <c r="A121" s="17" t="s">
        <v>696</v>
      </c>
      <c r="B121" s="4" t="s">
        <v>544</v>
      </c>
      <c r="C121" s="12" t="str">
        <f>IF(D121&gt;0,"Main Actual Costs grid",IF(E121&gt;0,"Additional Expenses section","Not shown on the form"))</f>
        <v>Not shown on the form</v>
      </c>
      <c r="D121" s="24">
        <f>D20</f>
        <v>0</v>
      </c>
      <c r="E121" s="7">
        <v>0</v>
      </c>
      <c r="F121" s="29">
        <f>E121-D121</f>
        <v>0</v>
      </c>
      <c r="G121" s="30">
        <f>IF(D121&gt;0,(E121-D121)/D121,0)</f>
        <v>0</v>
      </c>
      <c r="H121" s="17" t="str">
        <f>IF(AND(D121&gt;0,E121&gt;D121*1.1),"Y","N")</f>
        <v>N</v>
      </c>
      <c r="I121" s="17" t="str">
        <f>IF(AND(D121=0,E121&gt;0),"Y","N")</f>
        <v>N</v>
      </c>
      <c r="J121" s="17" t="str">
        <f>IF(OR(H121="Y",I121="Y"),"Y","N")</f>
        <v>N</v>
      </c>
      <c r="K121" s="9"/>
      <c r="L121" s="27" t="str">
        <f>IF(LEFT(C121,3)="Not","n/a",IF(K121="","",IF(UPPER(K121)=J121,"PASS","FAIL")))</f>
        <v>n/a</v>
      </c>
      <c r="M121" s="9"/>
    </row>
    <row r="122" spans="1:13" x14ac:dyDescent="0.25">
      <c r="A122" s="17" t="s">
        <v>697</v>
      </c>
      <c r="B122" s="4" t="s">
        <v>546</v>
      </c>
      <c r="C122" s="12" t="str">
        <f>IF(D122&gt;0,"Main Actual Costs grid",IF(E122&gt;0,"Additional Expenses section","Not shown on the form"))</f>
        <v>Not shown on the form</v>
      </c>
      <c r="D122" s="24">
        <f>D21</f>
        <v>0</v>
      </c>
      <c r="E122" s="7">
        <v>0</v>
      </c>
      <c r="F122" s="29">
        <f>E122-D122</f>
        <v>0</v>
      </c>
      <c r="G122" s="30">
        <f>IF(D122&gt;0,(E122-D122)/D122,0)</f>
        <v>0</v>
      </c>
      <c r="H122" s="17" t="str">
        <f>IF(AND(D122&gt;0,E122&gt;D122*1.1),"Y","N")</f>
        <v>N</v>
      </c>
      <c r="I122" s="17" t="str">
        <f>IF(AND(D122=0,E122&gt;0),"Y","N")</f>
        <v>N</v>
      </c>
      <c r="J122" s="17" t="str">
        <f>IF(OR(H122="Y",I122="Y"),"Y","N")</f>
        <v>N</v>
      </c>
      <c r="K122" s="9"/>
      <c r="L122" s="27" t="str">
        <f>IF(LEFT(C122,3)="Not","n/a",IF(K122="","",IF(UPPER(K122)=J122,"PASS","FAIL")))</f>
        <v>n/a</v>
      </c>
      <c r="M122" s="9"/>
    </row>
    <row r="123" spans="1:13" x14ac:dyDescent="0.25">
      <c r="A123" s="17" t="s">
        <v>698</v>
      </c>
      <c r="B123" s="4" t="s">
        <v>547</v>
      </c>
      <c r="C123" s="12" t="str">
        <f>IF(D123&gt;0,"Main Actual Costs grid",IF(E123&gt;0,"Additional Expenses section","Not shown on the form"))</f>
        <v>Not shown on the form</v>
      </c>
      <c r="D123" s="24">
        <f>D22</f>
        <v>0</v>
      </c>
      <c r="E123" s="7">
        <v>0</v>
      </c>
      <c r="F123" s="29">
        <f>E123-D123</f>
        <v>0</v>
      </c>
      <c r="G123" s="30">
        <f>IF(D123&gt;0,(E123-D123)/D123,0)</f>
        <v>0</v>
      </c>
      <c r="H123" s="17" t="str">
        <f>IF(AND(D123&gt;0,E123&gt;D123*1.1),"Y","N")</f>
        <v>N</v>
      </c>
      <c r="I123" s="17" t="str">
        <f>IF(AND(D123=0,E123&gt;0),"Y","N")</f>
        <v>N</v>
      </c>
      <c r="J123" s="17" t="str">
        <f>IF(OR(H123="Y",I123="Y"),"Y","N")</f>
        <v>N</v>
      </c>
      <c r="K123" s="9"/>
      <c r="L123" s="27" t="str">
        <f>IF(LEFT(C123,3)="Not","n/a",IF(K123="","",IF(UPPER(K123)=J123,"PASS","FAIL")))</f>
        <v>n/a</v>
      </c>
      <c r="M123" s="9"/>
    </row>
    <row r="124" spans="1:13" x14ac:dyDescent="0.25">
      <c r="A124" s="17" t="s">
        <v>699</v>
      </c>
      <c r="B124" s="4" t="s">
        <v>551</v>
      </c>
      <c r="C124" s="12" t="str">
        <f>IF(D124&gt;0,"Main Actual Costs grid",IF(E124&gt;0,"Additional Expenses section","Not shown on the form"))</f>
        <v>Not shown on the form</v>
      </c>
      <c r="D124" s="24">
        <f>D25</f>
        <v>0</v>
      </c>
      <c r="E124" s="7">
        <v>0</v>
      </c>
      <c r="F124" s="29">
        <f>E124-D124</f>
        <v>0</v>
      </c>
      <c r="G124" s="30">
        <f>IF(D124&gt;0,(E124-D124)/D124,0)</f>
        <v>0</v>
      </c>
      <c r="H124" s="17" t="str">
        <f>IF(AND(D124&gt;0,E124&gt;D124*1.1),"Y","N")</f>
        <v>N</v>
      </c>
      <c r="I124" s="17" t="str">
        <f>IF(AND(D124=0,E124&gt;0),"Y","N")</f>
        <v>N</v>
      </c>
      <c r="J124" s="17" t="str">
        <f>IF(OR(H124="Y",I124="Y"),"Y","N")</f>
        <v>N</v>
      </c>
      <c r="K124" s="9"/>
      <c r="L124" s="27" t="str">
        <f>IF(LEFT(C124,3)="Not","n/a",IF(K124="","",IF(UPPER(K124)=J124,"PASS","FAIL")))</f>
        <v>n/a</v>
      </c>
      <c r="M124" s="9"/>
    </row>
    <row r="125" spans="1:13" x14ac:dyDescent="0.25">
      <c r="A125" s="17" t="s">
        <v>700</v>
      </c>
      <c r="B125" s="4" t="s">
        <v>552</v>
      </c>
      <c r="C125" s="12" t="str">
        <f>IF(D125&gt;0,"Main Actual Costs grid",IF(E125&gt;0,"Additional Expenses section","Not shown on the form"))</f>
        <v>Main Actual Costs grid</v>
      </c>
      <c r="D125" s="24">
        <f>D26</f>
        <v>52.35</v>
      </c>
      <c r="E125" s="7">
        <v>49.8</v>
      </c>
      <c r="F125" s="29">
        <f>E125-D125</f>
        <v>-2.55</v>
      </c>
      <c r="G125" s="30">
        <f>IF(D125&gt;0,(E125-D125)/D125,0)</f>
        <v>-0.048710601719</v>
      </c>
      <c r="H125" s="17" t="str">
        <f>IF(AND(D125&gt;0,E125&gt;D125*1.1),"Y","N")</f>
        <v>N</v>
      </c>
      <c r="I125" s="17" t="str">
        <f>IF(AND(D125=0,E125&gt;0),"Y","N")</f>
        <v>N</v>
      </c>
      <c r="J125" s="17" t="str">
        <f>IF(OR(H125="Y",I125="Y"),"Y","N")</f>
        <v>N</v>
      </c>
      <c r="K125" s="9"/>
      <c r="L125" s="27" t="str">
        <f>IF(LEFT(C125,3)="Not","n/a",IF(K125="","",IF(UPPER(K125)=J125,"PASS","FAIL")))</f>
        <v/>
      </c>
      <c r="M125" s="9"/>
    </row>
    <row r="126" spans="1:13" x14ac:dyDescent="0.25">
      <c r="A126" s="17" t="s">
        <v>701</v>
      </c>
      <c r="B126" s="4" t="s">
        <v>553</v>
      </c>
      <c r="C126" s="12" t="str">
        <f>IF(D126&gt;0,"Main Actual Costs grid",IF(E126&gt;0,"Additional Expenses section","Not shown on the form"))</f>
        <v>Main Actual Costs grid</v>
      </c>
      <c r="D126" s="24">
        <f>D27</f>
        <v>36</v>
      </c>
      <c r="E126" s="7">
        <v>36</v>
      </c>
      <c r="F126" s="29">
        <f>E126-D126</f>
        <v>0</v>
      </c>
      <c r="G126" s="30">
        <f>IF(D126&gt;0,(E126-D126)/D126,0)</f>
        <v>0</v>
      </c>
      <c r="H126" s="17" t="str">
        <f>IF(AND(D126&gt;0,E126&gt;D126*1.1),"Y","N")</f>
        <v>N</v>
      </c>
      <c r="I126" s="17" t="str">
        <f>IF(AND(D126=0,E126&gt;0),"Y","N")</f>
        <v>N</v>
      </c>
      <c r="J126" s="17" t="str">
        <f>IF(OR(H126="Y",I126="Y"),"Y","N")</f>
        <v>N</v>
      </c>
      <c r="K126" s="9"/>
      <c r="L126" s="27" t="str">
        <f>IF(LEFT(C126,3)="Not","n/a",IF(K126="","",IF(UPPER(K126)=J126,"PASS","FAIL")))</f>
        <v/>
      </c>
      <c r="M126" s="9"/>
    </row>
    <row r="127" spans="1:13" x14ac:dyDescent="0.25">
      <c r="A127" s="17" t="s">
        <v>702</v>
      </c>
      <c r="B127" s="4" t="s">
        <v>554</v>
      </c>
      <c r="C127" s="12" t="str">
        <f>IF(D127&gt;0,"Main Actual Costs grid",IF(E127&gt;0,"Additional Expenses section","Not shown on the form"))</f>
        <v>Main Actual Costs grid</v>
      </c>
      <c r="D127" s="24">
        <f>D28</f>
        <v>12.5</v>
      </c>
      <c r="E127" s="7">
        <v>12.5</v>
      </c>
      <c r="F127" s="29">
        <f>E127-D127</f>
        <v>0</v>
      </c>
      <c r="G127" s="30">
        <f>IF(D127&gt;0,(E127-D127)/D127,0)</f>
        <v>0</v>
      </c>
      <c r="H127" s="17" t="str">
        <f>IF(AND(D127&gt;0,E127&gt;D127*1.1),"Y","N")</f>
        <v>N</v>
      </c>
      <c r="I127" s="17" t="str">
        <f>IF(AND(D127=0,E127&gt;0),"Y","N")</f>
        <v>N</v>
      </c>
      <c r="J127" s="17" t="str">
        <f>IF(OR(H127="Y",I127="Y"),"Y","N")</f>
        <v>N</v>
      </c>
      <c r="K127" s="9"/>
      <c r="L127" s="27" t="str">
        <f>IF(LEFT(C127,3)="Not","n/a",IF(K127="","",IF(UPPER(K127)=J127,"PASS","FAIL")))</f>
        <v/>
      </c>
      <c r="M127" s="9"/>
    </row>
    <row r="128" spans="1:13" x14ac:dyDescent="0.25">
      <c r="A128" s="17" t="s">
        <v>703</v>
      </c>
      <c r="B128" s="4" t="s">
        <v>555</v>
      </c>
      <c r="C128" s="12" t="str">
        <f>IF(D128&gt;0,"Main Actual Costs grid",IF(E128&gt;0,"Additional Expenses section","Not shown on the form"))</f>
        <v>Not shown on the form</v>
      </c>
      <c r="D128" s="24">
        <f>D29</f>
        <v>0</v>
      </c>
      <c r="E128" s="7">
        <v>0</v>
      </c>
      <c r="F128" s="29">
        <f>E128-D128</f>
        <v>0</v>
      </c>
      <c r="G128" s="30">
        <f>IF(D128&gt;0,(E128-D128)/D128,0)</f>
        <v>0</v>
      </c>
      <c r="H128" s="17" t="str">
        <f>IF(AND(D128&gt;0,E128&gt;D128*1.1),"Y","N")</f>
        <v>N</v>
      </c>
      <c r="I128" s="17" t="str">
        <f>IF(AND(D128=0,E128&gt;0),"Y","N")</f>
        <v>N</v>
      </c>
      <c r="J128" s="17" t="str">
        <f>IF(OR(H128="Y",I128="Y"),"Y","N")</f>
        <v>N</v>
      </c>
      <c r="K128" s="9"/>
      <c r="L128" s="27" t="str">
        <f>IF(LEFT(C128,3)="Not","n/a",IF(K128="","",IF(UPPER(K128)=J128,"PASS","FAIL")))</f>
        <v>n/a</v>
      </c>
      <c r="M128" s="9"/>
    </row>
    <row r="129" spans="1:13" x14ac:dyDescent="0.25">
      <c r="A129" s="17" t="s">
        <v>704</v>
      </c>
      <c r="B129" s="4" t="s">
        <v>556</v>
      </c>
      <c r="C129" s="12" t="str">
        <f>IF(D129&gt;0,"Main Actual Costs grid",IF(E129&gt;0,"Additional Expenses section","Not shown on the form"))</f>
        <v>Main Actual Costs grid</v>
      </c>
      <c r="D129" s="24">
        <f>D30</f>
        <v>187.6</v>
      </c>
      <c r="E129" s="7">
        <v>187.6</v>
      </c>
      <c r="F129" s="29">
        <f>E129-D129</f>
        <v>0</v>
      </c>
      <c r="G129" s="30">
        <f>IF(D129&gt;0,(E129-D129)/D129,0)</f>
        <v>0</v>
      </c>
      <c r="H129" s="17" t="str">
        <f>IF(AND(D129&gt;0,E129&gt;D129*1.1),"Y","N")</f>
        <v>N</v>
      </c>
      <c r="I129" s="17" t="str">
        <f>IF(AND(D129=0,E129&gt;0),"Y","N")</f>
        <v>N</v>
      </c>
      <c r="J129" s="17" t="str">
        <f>IF(OR(H129="Y",I129="Y"),"Y","N")</f>
        <v>N</v>
      </c>
      <c r="K129" s="9"/>
      <c r="L129" s="27" t="str">
        <f>IF(LEFT(C129,3)="Not","n/a",IF(K129="","",IF(UPPER(K129)=J129,"PASS","FAIL")))</f>
        <v/>
      </c>
      <c r="M129" s="9"/>
    </row>
    <row r="130" spans="1:13" x14ac:dyDescent="0.25">
      <c r="A130" s="17" t="s">
        <v>705</v>
      </c>
      <c r="B130" s="4" t="s">
        <v>548</v>
      </c>
      <c r="C130" s="12" t="str">
        <f>IF(D130&gt;0,"Main Actual Costs grid",IF(E130&gt;0,"Additional Expenses section","Not shown on the form"))</f>
        <v>Not shown on the form</v>
      </c>
      <c r="D130" s="24">
        <f>D23</f>
        <v>0</v>
      </c>
      <c r="E130" s="7">
        <v>0</v>
      </c>
      <c r="F130" s="29">
        <f>E130-D130</f>
        <v>0</v>
      </c>
      <c r="G130" s="30">
        <f>IF(D130&gt;0,(E130-D130)/D130,0)</f>
        <v>0</v>
      </c>
      <c r="H130" s="17" t="str">
        <f>IF(AND(D130&gt;0,E130&gt;D130*1.1),"Y","N")</f>
        <v>N</v>
      </c>
      <c r="I130" s="17" t="str">
        <f>IF(AND(D130=0,E130&gt;0),"Y","N")</f>
        <v>N</v>
      </c>
      <c r="J130" s="17" t="str">
        <f>IF(OR(H130="Y",I130="Y"),"Y","N")</f>
        <v>N</v>
      </c>
      <c r="K130" s="9"/>
      <c r="L130" s="27" t="str">
        <f>IF(LEFT(C130,3)="Not","n/a",IF(K130="","",IF(UPPER(K130)=J130,"PASS","FAIL")))</f>
        <v>n/a</v>
      </c>
      <c r="M130" s="9"/>
    </row>
    <row r="131" spans="1:13" x14ac:dyDescent="0.25">
      <c r="A131" s="17" t="s">
        <v>706</v>
      </c>
      <c r="B131" s="4" t="s">
        <v>550</v>
      </c>
      <c r="C131" s="12" t="str">
        <f>IF(D131&gt;0,"Main Actual Costs grid",IF(E131&gt;0,"Additional Expenses section","Not shown on the form"))</f>
        <v>Not shown on the form</v>
      </c>
      <c r="D131" s="24">
        <f>D24</f>
        <v>0</v>
      </c>
      <c r="E131" s="7">
        <v>0</v>
      </c>
      <c r="F131" s="29">
        <f>E131-D131</f>
        <v>0</v>
      </c>
      <c r="G131" s="30">
        <f>IF(D131&gt;0,(E131-D131)/D131,0)</f>
        <v>0</v>
      </c>
      <c r="H131" s="17" t="str">
        <f>IF(AND(D131&gt;0,E131&gt;D131*1.1),"Y","N")</f>
        <v>N</v>
      </c>
      <c r="I131" s="17" t="str">
        <f>IF(AND(D131=0,E131&gt;0),"Y","N")</f>
        <v>N</v>
      </c>
      <c r="J131" s="17" t="str">
        <f>IF(OR(H131="Y",I131="Y"),"Y","N")</f>
        <v>N</v>
      </c>
      <c r="K131" s="9"/>
      <c r="L131" s="27" t="str">
        <f>IF(LEFT(C131,3)="Not","n/a",IF(K131="","",IF(UPPER(K131)=J131,"PASS","FAIL")))</f>
        <v>n/a</v>
      </c>
      <c r="M131" s="9"/>
    </row>
    <row r="133" spans="1:6" x14ac:dyDescent="0.25">
      <c r="A133" s="16" t="s">
        <v>517</v>
      </c>
      <c r="B133" s="16" t="s">
        <v>707</v>
      </c>
      <c r="C133" s="16" t="s">
        <v>708</v>
      </c>
      <c r="D133" s="16" t="s">
        <v>709</v>
      </c>
      <c r="E133" s="16" t="s">
        <v>624</v>
      </c>
      <c r="F133" s="16" t="s">
        <v>625</v>
      </c>
    </row>
    <row r="134" spans="1:6" x14ac:dyDescent="0.25">
      <c r="A134" s="17" t="s">
        <v>710</v>
      </c>
      <c r="B134" s="4" t="s">
        <v>711</v>
      </c>
      <c r="C134" s="6" t="s">
        <v>712</v>
      </c>
      <c r="D134" s="24">
        <f>D55</f>
        <v>0</v>
      </c>
      <c r="E134" s="28"/>
      <c r="F134" s="27" t="str">
        <f>IF(E134="","",IF(ABS(E134-D134)&lt;=Setup!$C$6,"PASS","FAIL"))</f>
        <v/>
      </c>
    </row>
    <row r="135" spans="1:6" x14ac:dyDescent="0.25">
      <c r="A135" s="17" t="s">
        <v>713</v>
      </c>
      <c r="B135" s="4" t="s">
        <v>714</v>
      </c>
      <c r="C135" s="6" t="s">
        <v>715</v>
      </c>
      <c r="D135" s="24">
        <f>D117</f>
        <v>68</v>
      </c>
      <c r="E135" s="28"/>
      <c r="F135" s="27" t="str">
        <f>IF(E135="","",IF(ABS(E135-D135)&lt;=Setup!$C$6,"PASS","FAIL"))</f>
        <v/>
      </c>
    </row>
    <row r="136" spans="1:6" x14ac:dyDescent="0.25">
      <c r="A136" s="17" t="s">
        <v>716</v>
      </c>
      <c r="B136" s="4" t="s">
        <v>717</v>
      </c>
      <c r="C136" s="6" t="s">
        <v>715</v>
      </c>
      <c r="D136" s="18">
        <f>D13</f>
        <v>1</v>
      </c>
      <c r="E136" s="26"/>
      <c r="F136" s="27" t="str">
        <f>IF(E136="","",IF(ABS(E136-D136)&lt;=Setup!$C$6,"PASS","FAIL"))</f>
        <v/>
      </c>
    </row>
    <row r="137" spans="1:6" x14ac:dyDescent="0.25">
      <c r="A137" s="17" t="s">
        <v>718</v>
      </c>
      <c r="B137" s="4" t="s">
        <v>61</v>
      </c>
      <c r="C137" s="6" t="s">
        <v>719</v>
      </c>
      <c r="D137" s="18">
        <f>MAX(0,D115-D114)</f>
        <v>3</v>
      </c>
      <c r="E137" s="26"/>
      <c r="F137" s="27" t="str">
        <f>IF(E137="","",IF(ABS(E137-D137)&lt;=Setup!$C$6,"PASS","FAIL"))</f>
        <v/>
      </c>
    </row>
    <row r="138" spans="1:6" x14ac:dyDescent="0.25">
      <c r="A138" s="17" t="s">
        <v>720</v>
      </c>
      <c r="B138" s="4" t="s">
        <v>630</v>
      </c>
      <c r="C138" s="6" t="s">
        <v>64</v>
      </c>
      <c r="D138" s="24">
        <f>1.5*D117+MAX(D137-1,0)*D117</f>
        <v>238</v>
      </c>
      <c r="E138" s="28"/>
      <c r="F138" s="27" t="str">
        <f>IF(E138="","",IF(ABS(E138-D138)&lt;=Setup!$C$6,"PASS","FAIL"))</f>
        <v/>
      </c>
    </row>
    <row r="139" spans="1:6" x14ac:dyDescent="0.25">
      <c r="A139" s="17" t="s">
        <v>721</v>
      </c>
      <c r="B139" s="4" t="s">
        <v>722</v>
      </c>
      <c r="C139" s="6" t="s">
        <v>723</v>
      </c>
      <c r="D139" s="24">
        <f>E120+E121+E123+E122</f>
        <v>372.1</v>
      </c>
      <c r="E139" s="15"/>
      <c r="F139" s="15" t="s">
        <v>672</v>
      </c>
    </row>
    <row r="140" spans="1:6" x14ac:dyDescent="0.25">
      <c r="A140" s="17" t="s">
        <v>724</v>
      </c>
      <c r="B140" s="4" t="s">
        <v>66</v>
      </c>
      <c r="C140" s="6" t="s">
        <v>725</v>
      </c>
      <c r="D140" s="24">
        <f>D138+D139</f>
        <v>610.1</v>
      </c>
      <c r="E140" s="28"/>
      <c r="F140" s="27" t="str">
        <f>IF(E140="","",IF(ABS(E140-D140)&lt;=Setup!$C$6,"PASS","FAIL"))</f>
        <v/>
      </c>
    </row>
    <row r="141" spans="1:6" x14ac:dyDescent="0.25">
      <c r="A141" s="17" t="s">
        <v>726</v>
      </c>
      <c r="B141" s="4" t="s">
        <v>727</v>
      </c>
      <c r="C141" s="6" t="s">
        <v>579</v>
      </c>
      <c r="D141" s="24">
        <f>SUM(E124:E131)</f>
        <v>285.9</v>
      </c>
      <c r="E141" s="15"/>
      <c r="F141" s="15" t="s">
        <v>672</v>
      </c>
    </row>
    <row r="142" spans="1:6" x14ac:dyDescent="0.25">
      <c r="A142" s="17" t="s">
        <v>728</v>
      </c>
      <c r="B142" s="10" t="s">
        <v>68</v>
      </c>
      <c r="C142" s="6" t="s">
        <v>729</v>
      </c>
      <c r="D142" s="25">
        <f>D140*D116+D141</f>
        <v>896</v>
      </c>
      <c r="E142" s="28"/>
      <c r="F142" s="27" t="str">
        <f>IF(E142="","",IF(ABS(E142-D142)&lt;=Setup!$C$6,"PASS","FAIL"))</f>
        <v/>
      </c>
    </row>
    <row r="143" spans="1:6" x14ac:dyDescent="0.25">
      <c r="A143" s="17" t="s">
        <v>730</v>
      </c>
      <c r="B143" s="4" t="s">
        <v>731</v>
      </c>
      <c r="C143" s="6" t="s">
        <v>732</v>
      </c>
      <c r="D143" s="24">
        <f>D55</f>
        <v>0</v>
      </c>
      <c r="E143" s="28"/>
      <c r="F143" s="27" t="str">
        <f>IF(E143="","",IF(ABS(E143-D143)&lt;=Setup!$C$6,"PASS","FAIL"))</f>
        <v/>
      </c>
    </row>
    <row r="144" spans="1:6" x14ac:dyDescent="0.25">
      <c r="A144" s="17" t="s">
        <v>733</v>
      </c>
      <c r="B144" s="10" t="s">
        <v>734</v>
      </c>
      <c r="C144" s="6" t="s">
        <v>587</v>
      </c>
      <c r="D144" s="25">
        <f>D142+D143</f>
        <v>896</v>
      </c>
      <c r="E144" s="28"/>
      <c r="F144" s="27" t="str">
        <f>IF(E144="","",IF(ABS(E144-D144)&lt;=Setup!$C$6,"PASS","FAIL"))</f>
        <v/>
      </c>
    </row>
    <row r="145" spans="1:6" x14ac:dyDescent="0.25">
      <c r="A145" s="17" t="s">
        <v>735</v>
      </c>
      <c r="B145" s="4" t="s">
        <v>736</v>
      </c>
      <c r="C145" s="6" t="s">
        <v>737</v>
      </c>
      <c r="D145" s="24">
        <f>D50+D55</f>
        <v>894.7</v>
      </c>
      <c r="E145" s="15"/>
      <c r="F145" s="15" t="s">
        <v>672</v>
      </c>
    </row>
    <row r="146" spans="1:6" x14ac:dyDescent="0.25">
      <c r="A146" s="17" t="s">
        <v>738</v>
      </c>
      <c r="B146" s="10" t="s">
        <v>739</v>
      </c>
      <c r="C146" s="6" t="s">
        <v>740</v>
      </c>
      <c r="D146" s="31">
        <f>D144-D145</f>
        <v>1.3</v>
      </c>
      <c r="E146" s="32"/>
      <c r="F146" s="27" t="str">
        <f>IF(E146="","",IF(ABS(E146-D146)&lt;=Setup!$C$6,"PASS","FAIL"))</f>
        <v/>
      </c>
    </row>
    <row r="147" spans="1:6" x14ac:dyDescent="0.25">
      <c r="A147" s="17" t="s">
        <v>741</v>
      </c>
      <c r="B147" s="4" t="s">
        <v>742</v>
      </c>
      <c r="C147" s="6" t="s">
        <v>743</v>
      </c>
      <c r="D147" s="24">
        <f>D144</f>
        <v>896</v>
      </c>
      <c r="E147" s="28"/>
      <c r="F147" s="27" t="str">
        <f>IF(E147="","",IF(ABS(E147-D147)&lt;=Setup!$C$6,"PASS","FAIL"))</f>
        <v/>
      </c>
    </row>
    <row r="148" spans="1:6" x14ac:dyDescent="0.25">
      <c r="A148" s="17" t="s">
        <v>744</v>
      </c>
      <c r="B148" s="4" t="s">
        <v>745</v>
      </c>
      <c r="C148" s="6" t="s">
        <v>746</v>
      </c>
      <c r="D148" s="29">
        <f>D146</f>
        <v>1.3</v>
      </c>
      <c r="E148" s="32"/>
      <c r="F148" s="27" t="str">
        <f>IF(E148="","",IF(ABS(E148-D148)&lt;=Setup!$C$6,"PASS","FAIL"))</f>
        <v/>
      </c>
    </row>
    <row r="149" spans="1:6" x14ac:dyDescent="0.25">
      <c r="A149" s="17" t="s">
        <v>747</v>
      </c>
      <c r="B149" s="4" t="s">
        <v>748</v>
      </c>
      <c r="C149" s="6" t="s">
        <v>749</v>
      </c>
      <c r="D149" s="18">
        <f>COUNTIF(H120:H131,"Y")</f>
        <v>0</v>
      </c>
      <c r="E149" s="26"/>
      <c r="F149" s="27" t="str">
        <f>IF(E149="","",IF(ABS(E149-D149)&lt;=Setup!$C$6,"PASS","FAIL"))</f>
        <v/>
      </c>
    </row>
    <row r="150" spans="1:6" x14ac:dyDescent="0.25">
      <c r="A150" s="17" t="s">
        <v>750</v>
      </c>
      <c r="B150" s="4" t="s">
        <v>751</v>
      </c>
      <c r="C150" s="6" t="s">
        <v>752</v>
      </c>
      <c r="D150" s="18">
        <f>COUNTIF(I120:I131,"Y")</f>
        <v>0</v>
      </c>
      <c r="E150" s="26"/>
      <c r="F150" s="27" t="str">
        <f>IF(E150="","",IF(ABS(E150-D150)&lt;=Setup!$C$6,"PASS","FAIL"))</f>
        <v/>
      </c>
    </row>
  </sheetData>
  <mergeCells count="2">
    <mergeCell ref="A2:M2"/>
    <mergeCell ref="A3:M3"/>
  </mergeCells>
  <conditionalFormatting sqref="A1:M150">
    <cfRule type="cellIs" dxfId="18" priority="1" operator="equal">
      <formula>"PASS"</formula>
    </cfRule>
    <cfRule type="cellIs" dxfId="19" priority="2" operator="equal">
      <formula>"OK"</formula>
    </cfRule>
    <cfRule type="cellIs" dxfId="20" priority="3" operator="equal">
      <formula>"Covered"</formula>
    </cfRule>
    <cfRule type="cellIs" dxfId="21" priority="4" operator="equal">
      <formula>"FAIL"</formula>
    </cfRule>
    <cfRule type="cellIs" dxfId="22" priority="5" operator="equal">
      <formula>"CHECK"</formula>
    </cfRule>
    <cfRule type="cellIs" dxfId="23" priority="6" operator="equal">
      <formula>"GAP"</formula>
    </cfRule>
  </conditionalFormatting>
  <dataValidations count="2">
    <dataValidation type="list" allowBlank="1" sqref="K120:K131">
      <formula1>"Y,N"</formula1>
    </dataValidation>
    <dataValidation type="list" allowBlank="1" sqref="M120:M131">
      <formula1>"Y,N"</formula1>
    </dataValidation>
  </dataValidations>
  <pageSetup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8F82"/>
    <pageSetUpPr fitToPage="1"/>
  </sheetPr>
  <dimension ref="A1:M160"/>
  <sheetViews>
    <sheetView workbookViewId="0" showGridLines="0"/>
  </sheetViews>
  <sheetFormatPr defaultRowHeight="15" outlineLevelRow="0" outlineLevelCol="0" x14ac:dyDescent="55"/>
  <cols>
    <col min="1" max="1" width="8" customWidth="1"/>
    <col min="2" max="2" width="40" customWidth="1"/>
    <col min="3" max="3" width="52" customWidth="1"/>
    <col min="4" max="6" width="15" customWidth="1"/>
    <col min="7" max="13" width="14" customWidth="1"/>
  </cols>
  <sheetData>
    <row r="1" ht="26" customHeight="1" spans="1:1" x14ac:dyDescent="0.25">
      <c r="A1" s="1" t="s">
        <v>753</v>
      </c>
    </row>
    <row r="2" ht="42" customHeight="1" spans="1:13" x14ac:dyDescent="0.25">
      <c r="A2" s="2" t="s">
        <v>128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5">
      <c r="A3" s="2" t="s">
        <v>754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5" spans="1:13" x14ac:dyDescent="0.25">
      <c r="A5" s="3" t="s">
        <v>516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6" x14ac:dyDescent="0.25">
      <c r="A6" s="16" t="s">
        <v>517</v>
      </c>
      <c r="B6" s="16" t="s">
        <v>518</v>
      </c>
      <c r="C6" s="16" t="s">
        <v>519</v>
      </c>
      <c r="D6" s="16" t="s">
        <v>125</v>
      </c>
      <c r="E6" s="16"/>
      <c r="F6" s="16"/>
    </row>
    <row r="7" spans="1:6" x14ac:dyDescent="0.25">
      <c r="A7" s="17"/>
      <c r="B7" s="4" t="s">
        <v>520</v>
      </c>
      <c r="C7" s="6" t="s">
        <v>521</v>
      </c>
      <c r="D7" s="8" t="s">
        <v>755</v>
      </c>
      <c r="E7" s="4"/>
      <c r="F7" s="4"/>
    </row>
    <row r="8" spans="1:6" x14ac:dyDescent="0.25">
      <c r="A8" s="17"/>
      <c r="B8" s="4" t="s">
        <v>523</v>
      </c>
      <c r="C8" s="6"/>
      <c r="D8" s="8" t="s">
        <v>756</v>
      </c>
      <c r="E8" s="4"/>
      <c r="F8" s="4"/>
    </row>
    <row r="9" spans="1:6" x14ac:dyDescent="0.25">
      <c r="A9" s="17"/>
      <c r="B9" s="4" t="s">
        <v>525</v>
      </c>
      <c r="C9" s="6" t="s">
        <v>526</v>
      </c>
      <c r="D9" s="8" t="s">
        <v>757</v>
      </c>
      <c r="E9" s="4"/>
      <c r="F9" s="4"/>
    </row>
    <row r="10" spans="1:6" x14ac:dyDescent="0.25">
      <c r="A10" s="17"/>
      <c r="B10" s="4" t="s">
        <v>528</v>
      </c>
      <c r="C10" s="6" t="s">
        <v>529</v>
      </c>
      <c r="D10" s="8" t="s">
        <v>530</v>
      </c>
      <c r="E10" s="4"/>
      <c r="F10" s="4"/>
    </row>
    <row r="11" spans="1:6" x14ac:dyDescent="0.25">
      <c r="A11" s="17"/>
      <c r="B11" s="4" t="s">
        <v>531</v>
      </c>
      <c r="C11" s="6"/>
      <c r="D11" s="20">
        <v>46342</v>
      </c>
      <c r="E11" s="4"/>
      <c r="F11" s="4"/>
    </row>
    <row r="12" spans="1:6" x14ac:dyDescent="0.25">
      <c r="A12" s="17"/>
      <c r="B12" s="4" t="s">
        <v>532</v>
      </c>
      <c r="C12" s="6"/>
      <c r="D12" s="20">
        <v>46345</v>
      </c>
      <c r="E12" s="4"/>
      <c r="F12" s="4"/>
    </row>
    <row r="13" spans="1:6" x14ac:dyDescent="0.25">
      <c r="A13" s="17"/>
      <c r="B13" s="4" t="s">
        <v>533</v>
      </c>
      <c r="C13" s="6" t="s">
        <v>534</v>
      </c>
      <c r="D13" s="21">
        <v>2</v>
      </c>
      <c r="E13" s="4"/>
      <c r="F13" s="4"/>
    </row>
    <row r="14" spans="1:6" x14ac:dyDescent="0.25">
      <c r="A14" s="17"/>
      <c r="B14" s="4" t="s">
        <v>535</v>
      </c>
      <c r="C14" s="6" t="s">
        <v>536</v>
      </c>
      <c r="D14" s="7">
        <v>150</v>
      </c>
      <c r="E14" s="4"/>
      <c r="F14" s="4"/>
    </row>
    <row r="15" spans="1:6" x14ac:dyDescent="0.25">
      <c r="A15" s="17"/>
      <c r="B15" s="4" t="s">
        <v>537</v>
      </c>
      <c r="C15" s="6" t="s">
        <v>536</v>
      </c>
      <c r="D15" s="7">
        <v>74</v>
      </c>
      <c r="E15" s="4"/>
      <c r="F15" s="4"/>
    </row>
    <row r="16" spans="1:6" x14ac:dyDescent="0.25">
      <c r="A16" s="17"/>
      <c r="B16" s="4" t="s">
        <v>538</v>
      </c>
      <c r="C16" s="6" t="s">
        <v>539</v>
      </c>
      <c r="D16" s="7">
        <v>420</v>
      </c>
      <c r="E16" s="4"/>
      <c r="F16" s="4"/>
    </row>
    <row r="17" spans="1:6" x14ac:dyDescent="0.25">
      <c r="A17" s="17"/>
      <c r="B17" s="4" t="s">
        <v>540</v>
      </c>
      <c r="C17" s="6" t="s">
        <v>539</v>
      </c>
      <c r="D17" s="7">
        <v>513.8</v>
      </c>
      <c r="E17" s="4"/>
      <c r="F17" s="4"/>
    </row>
    <row r="18" spans="1:6" x14ac:dyDescent="0.25">
      <c r="A18" s="17"/>
      <c r="B18" s="4" t="s">
        <v>541</v>
      </c>
      <c r="C18" s="6" t="s">
        <v>542</v>
      </c>
      <c r="D18" s="7">
        <v>35</v>
      </c>
      <c r="E18" s="4"/>
      <c r="F18" s="4"/>
    </row>
    <row r="19" spans="1:6" x14ac:dyDescent="0.25">
      <c r="A19" s="17"/>
      <c r="B19" s="4" t="s">
        <v>543</v>
      </c>
      <c r="C19" s="6" t="s">
        <v>542</v>
      </c>
      <c r="D19" s="7">
        <v>58.8</v>
      </c>
      <c r="E19" s="4"/>
      <c r="F19" s="4"/>
    </row>
    <row r="20" spans="1:6" x14ac:dyDescent="0.25">
      <c r="A20" s="17"/>
      <c r="B20" s="4" t="s">
        <v>544</v>
      </c>
      <c r="C20" s="6" t="s">
        <v>545</v>
      </c>
      <c r="D20" s="7">
        <v>385</v>
      </c>
      <c r="E20" s="4"/>
      <c r="F20" s="4"/>
    </row>
    <row r="21" spans="1:6" x14ac:dyDescent="0.25">
      <c r="A21" s="17"/>
      <c r="B21" s="4" t="s">
        <v>546</v>
      </c>
      <c r="C21" s="6" t="s">
        <v>545</v>
      </c>
      <c r="D21" s="7">
        <v>0</v>
      </c>
      <c r="E21" s="4"/>
      <c r="F21" s="4"/>
    </row>
    <row r="22" spans="1:6" x14ac:dyDescent="0.25">
      <c r="A22" s="17"/>
      <c r="B22" s="4" t="s">
        <v>547</v>
      </c>
      <c r="C22" s="6" t="s">
        <v>545</v>
      </c>
      <c r="D22" s="7">
        <v>60</v>
      </c>
      <c r="E22" s="4"/>
      <c r="F22" s="4"/>
    </row>
    <row r="23" spans="1:6" x14ac:dyDescent="0.25">
      <c r="A23" s="17"/>
      <c r="B23" s="4" t="s">
        <v>548</v>
      </c>
      <c r="C23" s="6" t="s">
        <v>549</v>
      </c>
      <c r="D23" s="7">
        <v>85</v>
      </c>
      <c r="E23" s="4"/>
      <c r="F23" s="4"/>
    </row>
    <row r="24" spans="1:6" x14ac:dyDescent="0.25">
      <c r="A24" s="17"/>
      <c r="B24" s="4" t="s">
        <v>550</v>
      </c>
      <c r="C24" s="6" t="s">
        <v>549</v>
      </c>
      <c r="D24" s="7">
        <v>85</v>
      </c>
      <c r="E24" s="4"/>
      <c r="F24" s="4"/>
    </row>
    <row r="25" spans="1:6" x14ac:dyDescent="0.25">
      <c r="A25" s="17"/>
      <c r="B25" s="4" t="s">
        <v>551</v>
      </c>
      <c r="C25" s="6" t="s">
        <v>549</v>
      </c>
      <c r="D25" s="7">
        <v>215</v>
      </c>
      <c r="E25" s="4"/>
      <c r="F25" s="4"/>
    </row>
    <row r="26" spans="1:6" x14ac:dyDescent="0.25">
      <c r="A26" s="17"/>
      <c r="B26" s="4" t="s">
        <v>552</v>
      </c>
      <c r="C26" s="6" t="s">
        <v>549</v>
      </c>
      <c r="D26" s="7">
        <v>41.5</v>
      </c>
      <c r="E26" s="4"/>
      <c r="F26" s="4"/>
    </row>
    <row r="27" spans="1:6" x14ac:dyDescent="0.25">
      <c r="A27" s="17"/>
      <c r="B27" s="4" t="s">
        <v>553</v>
      </c>
      <c r="C27" s="6" t="s">
        <v>549</v>
      </c>
      <c r="D27" s="7">
        <v>28</v>
      </c>
      <c r="E27" s="4"/>
      <c r="F27" s="4"/>
    </row>
    <row r="28" spans="1:6" x14ac:dyDescent="0.25">
      <c r="A28" s="17"/>
      <c r="B28" s="4" t="s">
        <v>554</v>
      </c>
      <c r="C28" s="6" t="s">
        <v>549</v>
      </c>
      <c r="D28" s="7">
        <v>0</v>
      </c>
      <c r="E28" s="4"/>
      <c r="F28" s="4"/>
    </row>
    <row r="29" spans="1:6" x14ac:dyDescent="0.25">
      <c r="A29" s="17"/>
      <c r="B29" s="4" t="s">
        <v>555</v>
      </c>
      <c r="C29" s="6" t="s">
        <v>549</v>
      </c>
      <c r="D29" s="7">
        <v>0</v>
      </c>
      <c r="E29" s="4"/>
      <c r="F29" s="4"/>
    </row>
    <row r="30" spans="1:6" x14ac:dyDescent="0.25">
      <c r="A30" s="17"/>
      <c r="B30" s="4" t="s">
        <v>556</v>
      </c>
      <c r="C30" s="6" t="s">
        <v>549</v>
      </c>
      <c r="D30" s="7">
        <v>0</v>
      </c>
      <c r="E30" s="4"/>
      <c r="F30" s="4"/>
    </row>
    <row r="31" spans="1:6" x14ac:dyDescent="0.25">
      <c r="A31" s="4"/>
      <c r="B31" s="22" t="s">
        <v>557</v>
      </c>
      <c r="C31" s="22"/>
      <c r="D31" s="22"/>
      <c r="E31" s="22"/>
      <c r="F31" s="22"/>
    </row>
    <row r="32" spans="1:6" x14ac:dyDescent="0.25">
      <c r="A32" s="17"/>
      <c r="B32" s="4" t="s">
        <v>558</v>
      </c>
      <c r="C32" s="6" t="s">
        <v>559</v>
      </c>
      <c r="D32" s="7">
        <v>62.5</v>
      </c>
      <c r="E32" s="4"/>
      <c r="F32" s="4"/>
    </row>
    <row r="33" spans="1:6" x14ac:dyDescent="0.25">
      <c r="A33" s="17"/>
      <c r="B33" s="4" t="s">
        <v>560</v>
      </c>
      <c r="C33" s="6"/>
      <c r="D33" s="23">
        <v>12</v>
      </c>
      <c r="E33" s="4"/>
      <c r="F33" s="4"/>
    </row>
    <row r="34" spans="1:6" x14ac:dyDescent="0.25">
      <c r="A34" s="17"/>
      <c r="B34" s="4" t="s">
        <v>561</v>
      </c>
      <c r="C34" s="6"/>
      <c r="D34" s="7">
        <v>0</v>
      </c>
      <c r="E34" s="4"/>
      <c r="F34" s="4"/>
    </row>
    <row r="35" spans="1:6" x14ac:dyDescent="0.25">
      <c r="A35" s="17"/>
      <c r="B35" s="4" t="s">
        <v>562</v>
      </c>
      <c r="C35" s="6"/>
      <c r="D35" s="23">
        <v>0</v>
      </c>
      <c r="E35" s="4"/>
      <c r="F35" s="4"/>
    </row>
    <row r="36" spans="1:6" x14ac:dyDescent="0.25">
      <c r="A36" s="17"/>
      <c r="B36" s="4" t="s">
        <v>563</v>
      </c>
      <c r="C36" s="6"/>
      <c r="D36" s="7">
        <v>0</v>
      </c>
      <c r="E36" s="4"/>
      <c r="F36" s="4"/>
    </row>
    <row r="37" spans="1:6" x14ac:dyDescent="0.25">
      <c r="A37" s="17"/>
      <c r="B37" s="4" t="s">
        <v>564</v>
      </c>
      <c r="C37" s="6"/>
      <c r="D37" s="23">
        <v>0</v>
      </c>
      <c r="E37" s="4"/>
      <c r="F37" s="4"/>
    </row>
    <row r="38" spans="1:6" x14ac:dyDescent="0.25">
      <c r="A38" s="17"/>
      <c r="B38" s="4" t="s">
        <v>565</v>
      </c>
      <c r="C38" s="6"/>
      <c r="D38" s="7">
        <v>0</v>
      </c>
      <c r="E38" s="4"/>
      <c r="F38" s="4"/>
    </row>
    <row r="39" spans="1:6" x14ac:dyDescent="0.25">
      <c r="A39" s="17"/>
      <c r="B39" s="4" t="s">
        <v>566</v>
      </c>
      <c r="C39" s="6"/>
      <c r="D39" s="23">
        <v>0</v>
      </c>
      <c r="E39" s="4"/>
      <c r="F39" s="4"/>
    </row>
    <row r="40" spans="1:6" x14ac:dyDescent="0.25">
      <c r="A40" s="17"/>
      <c r="B40" s="4" t="s">
        <v>567</v>
      </c>
      <c r="C40" s="6" t="s">
        <v>568</v>
      </c>
      <c r="D40" s="21">
        <v>0</v>
      </c>
      <c r="E40" s="4"/>
      <c r="F40" s="4"/>
    </row>
    <row r="42" spans="1:13" x14ac:dyDescent="0.25">
      <c r="A42" s="3" t="s">
        <v>569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6" x14ac:dyDescent="0.25">
      <c r="A43" s="16" t="s">
        <v>517</v>
      </c>
      <c r="B43" s="16" t="s">
        <v>518</v>
      </c>
      <c r="C43" s="16" t="s">
        <v>519</v>
      </c>
      <c r="D43" s="16" t="s">
        <v>125</v>
      </c>
      <c r="E43" s="16"/>
      <c r="F43" s="16"/>
    </row>
    <row r="44" spans="1:6" x14ac:dyDescent="0.25">
      <c r="A44" s="17"/>
      <c r="B44" s="4" t="s">
        <v>61</v>
      </c>
      <c r="C44" s="6" t="s">
        <v>570</v>
      </c>
      <c r="D44" s="18">
        <f>MAX(0,D12-D11)</f>
        <v>3</v>
      </c>
      <c r="E44" s="4"/>
      <c r="F44" s="4"/>
    </row>
    <row r="45" spans="1:6" x14ac:dyDescent="0.25">
      <c r="A45" s="17"/>
      <c r="B45" s="4" t="s">
        <v>571</v>
      </c>
      <c r="C45" s="6" t="s">
        <v>572</v>
      </c>
      <c r="D45" s="18">
        <f>MAX(D44-1,0)</f>
        <v>2</v>
      </c>
      <c r="E45" s="4"/>
      <c r="F45" s="4"/>
    </row>
    <row r="46" spans="1:6" x14ac:dyDescent="0.25">
      <c r="A46" s="17"/>
      <c r="B46" s="4" t="s">
        <v>573</v>
      </c>
      <c r="C46" s="6" t="s">
        <v>574</v>
      </c>
      <c r="D46" s="24">
        <f>1.5*D15+D45*D15</f>
        <v>259</v>
      </c>
      <c r="E46" s="4"/>
      <c r="F46" s="4"/>
    </row>
    <row r="47" spans="1:6" x14ac:dyDescent="0.25">
      <c r="A47" s="17"/>
      <c r="B47" s="4" t="s">
        <v>575</v>
      </c>
      <c r="C47" s="6" t="s">
        <v>576</v>
      </c>
      <c r="D47" s="24">
        <f>D17+D20+D22+D21</f>
        <v>958.8</v>
      </c>
      <c r="E47" s="4"/>
      <c r="F47" s="4"/>
    </row>
    <row r="48" spans="1:6" x14ac:dyDescent="0.25">
      <c r="A48" s="17"/>
      <c r="B48" s="10" t="s">
        <v>66</v>
      </c>
      <c r="C48" s="6" t="s">
        <v>577</v>
      </c>
      <c r="D48" s="25">
        <f>D46+D47</f>
        <v>1217.8</v>
      </c>
      <c r="E48" s="4"/>
      <c r="F48" s="4"/>
    </row>
    <row r="49" spans="1:6" x14ac:dyDescent="0.25">
      <c r="A49" s="17"/>
      <c r="B49" s="4" t="s">
        <v>578</v>
      </c>
      <c r="C49" s="6" t="s">
        <v>579</v>
      </c>
      <c r="D49" s="24">
        <f>D25+D26+D27+D28+D29+D30+D23+D24</f>
        <v>454.5</v>
      </c>
      <c r="E49" s="4"/>
      <c r="F49" s="4"/>
    </row>
    <row r="50" spans="1:6" x14ac:dyDescent="0.25">
      <c r="A50" s="17"/>
      <c r="B50" s="10" t="s">
        <v>68</v>
      </c>
      <c r="C50" s="6" t="s">
        <v>69</v>
      </c>
      <c r="D50" s="25">
        <f>D48*D13+D49</f>
        <v>2890.1</v>
      </c>
      <c r="E50" s="4"/>
      <c r="F50" s="4"/>
    </row>
    <row r="51" spans="1:6" x14ac:dyDescent="0.25">
      <c r="A51" s="17"/>
      <c r="B51" s="4" t="s">
        <v>580</v>
      </c>
      <c r="C51" s="6" t="s">
        <v>581</v>
      </c>
      <c r="D51" s="24">
        <f>IF(1&lt;=D13,D32*D33,0)</f>
        <v>750</v>
      </c>
      <c r="E51" s="4"/>
      <c r="F51" s="4"/>
    </row>
    <row r="52" spans="1:6" x14ac:dyDescent="0.25">
      <c r="A52" s="17"/>
      <c r="B52" s="4" t="s">
        <v>582</v>
      </c>
      <c r="C52" s="6" t="s">
        <v>581</v>
      </c>
      <c r="D52" s="24">
        <f>IF(2&lt;=D13,D34*D35,0)</f>
        <v>0</v>
      </c>
      <c r="E52" s="4"/>
      <c r="F52" s="4"/>
    </row>
    <row r="53" spans="1:6" x14ac:dyDescent="0.25">
      <c r="A53" s="17"/>
      <c r="B53" s="4" t="s">
        <v>583</v>
      </c>
      <c r="C53" s="6" t="s">
        <v>581</v>
      </c>
      <c r="D53" s="24">
        <f>IF(3&lt;=D13,D36*D37,0)</f>
        <v>0</v>
      </c>
      <c r="E53" s="4"/>
      <c r="F53" s="4"/>
    </row>
    <row r="54" spans="1:6" x14ac:dyDescent="0.25">
      <c r="A54" s="17"/>
      <c r="B54" s="4" t="s">
        <v>584</v>
      </c>
      <c r="C54" s="6" t="s">
        <v>581</v>
      </c>
      <c r="D54" s="24">
        <f>IF(4&lt;=D13,D38*D39,0)</f>
        <v>0</v>
      </c>
      <c r="E54" s="4"/>
      <c r="F54" s="4"/>
    </row>
    <row r="55" spans="1:6" x14ac:dyDescent="0.25">
      <c r="A55" s="17"/>
      <c r="B55" s="10" t="s">
        <v>71</v>
      </c>
      <c r="C55" s="6" t="s">
        <v>585</v>
      </c>
      <c r="D55" s="25">
        <f>SUM(D51:D54)</f>
        <v>750</v>
      </c>
      <c r="E55" s="4"/>
      <c r="F55" s="4"/>
    </row>
    <row r="56" spans="1:6" x14ac:dyDescent="0.25">
      <c r="A56" s="17"/>
      <c r="B56" s="10" t="s">
        <v>586</v>
      </c>
      <c r="C56" s="6" t="s">
        <v>587</v>
      </c>
      <c r="D56" s="25">
        <f>D50+D55</f>
        <v>3640.1</v>
      </c>
      <c r="E56" s="4"/>
      <c r="F56" s="4"/>
    </row>
    <row r="57" spans="1:6" x14ac:dyDescent="0.25">
      <c r="A57" s="4"/>
      <c r="B57" s="22" t="s">
        <v>588</v>
      </c>
      <c r="C57" s="22" t="s">
        <v>589</v>
      </c>
      <c r="D57" s="22"/>
      <c r="E57" s="22"/>
      <c r="F57" s="22"/>
    </row>
    <row r="58" spans="1:6" x14ac:dyDescent="0.25">
      <c r="A58" s="17"/>
      <c r="B58" s="4" t="s">
        <v>590</v>
      </c>
      <c r="C58" s="6" t="s">
        <v>591</v>
      </c>
      <c r="D58" s="24">
        <f>ROUND(D17*Setup!$C$5,2)</f>
        <v>579.26</v>
      </c>
      <c r="E58" s="4"/>
      <c r="F58" s="4"/>
    </row>
    <row r="59" spans="1:6" x14ac:dyDescent="0.25">
      <c r="A59" s="17"/>
      <c r="B59" s="4" t="s">
        <v>544</v>
      </c>
      <c r="C59" s="6" t="s">
        <v>592</v>
      </c>
      <c r="D59" s="24">
        <f>ROUND(D20*Setup!$C$5,2)</f>
        <v>434.05</v>
      </c>
      <c r="E59" s="4"/>
      <c r="F59" s="4"/>
    </row>
    <row r="60" spans="1:6" x14ac:dyDescent="0.25">
      <c r="A60" s="17"/>
      <c r="B60" s="4" t="s">
        <v>546</v>
      </c>
      <c r="C60" s="6" t="s">
        <v>593</v>
      </c>
      <c r="D60" s="24">
        <f>ROUND(D21*Setup!$C$5,2)</f>
        <v>0</v>
      </c>
      <c r="E60" s="4"/>
      <c r="F60" s="4"/>
    </row>
    <row r="61" spans="1:6" x14ac:dyDescent="0.25">
      <c r="A61" s="17"/>
      <c r="B61" s="4" t="s">
        <v>547</v>
      </c>
      <c r="C61" s="6" t="s">
        <v>594</v>
      </c>
      <c r="D61" s="24">
        <f>ROUND(D22*Setup!$C$5,2)</f>
        <v>67.64</v>
      </c>
      <c r="E61" s="4"/>
      <c r="F61" s="4"/>
    </row>
    <row r="62" spans="1:6" x14ac:dyDescent="0.25">
      <c r="A62" s="17"/>
      <c r="B62" s="4" t="s">
        <v>551</v>
      </c>
      <c r="C62" s="6" t="s">
        <v>595</v>
      </c>
      <c r="D62" s="24">
        <f>ROUND(D25*Setup!$C$5,2)</f>
        <v>242.39</v>
      </c>
      <c r="E62" s="4"/>
      <c r="F62" s="4"/>
    </row>
    <row r="63" spans="1:6" x14ac:dyDescent="0.25">
      <c r="A63" s="17"/>
      <c r="B63" s="4" t="s">
        <v>552</v>
      </c>
      <c r="C63" s="6" t="s">
        <v>596</v>
      </c>
      <c r="D63" s="24">
        <f>ROUND(D26*Setup!$C$5,2)</f>
        <v>46.79</v>
      </c>
      <c r="E63" s="4"/>
      <c r="F63" s="4"/>
    </row>
    <row r="64" spans="1:6" x14ac:dyDescent="0.25">
      <c r="A64" s="17"/>
      <c r="B64" s="4" t="s">
        <v>553</v>
      </c>
      <c r="C64" s="6" t="s">
        <v>597</v>
      </c>
      <c r="D64" s="24">
        <f>ROUND(D27*Setup!$C$5,2)</f>
        <v>31.57</v>
      </c>
      <c r="E64" s="4"/>
      <c r="F64" s="4"/>
    </row>
    <row r="65" spans="1:6" x14ac:dyDescent="0.25">
      <c r="A65" s="17"/>
      <c r="B65" s="4" t="s">
        <v>554</v>
      </c>
      <c r="C65" s="6" t="s">
        <v>598</v>
      </c>
      <c r="D65" s="24">
        <f>ROUND(D28*Setup!$C$5,2)</f>
        <v>0</v>
      </c>
      <c r="E65" s="4"/>
      <c r="F65" s="4"/>
    </row>
    <row r="66" spans="1:6" x14ac:dyDescent="0.25">
      <c r="A66" s="17"/>
      <c r="B66" s="4" t="s">
        <v>555</v>
      </c>
      <c r="C66" s="6" t="s">
        <v>599</v>
      </c>
      <c r="D66" s="24">
        <f>ROUND(D29*Setup!$C$5,2)</f>
        <v>0</v>
      </c>
      <c r="E66" s="4"/>
      <c r="F66" s="4"/>
    </row>
    <row r="67" spans="1:6" x14ac:dyDescent="0.25">
      <c r="A67" s="17"/>
      <c r="B67" s="4" t="s">
        <v>556</v>
      </c>
      <c r="C67" s="6" t="s">
        <v>600</v>
      </c>
      <c r="D67" s="24">
        <f>ROUND(D30*Setup!$C$5,2)</f>
        <v>0</v>
      </c>
      <c r="E67" s="4"/>
      <c r="F67" s="4"/>
    </row>
    <row r="68" spans="1:6" x14ac:dyDescent="0.25">
      <c r="A68" s="17"/>
      <c r="B68" s="4" t="s">
        <v>548</v>
      </c>
      <c r="C68" s="6" t="s">
        <v>601</v>
      </c>
      <c r="D68" s="24">
        <f>ROUND(D23*Setup!$C$5,2)</f>
        <v>95.83</v>
      </c>
      <c r="E68" s="4"/>
      <c r="F68" s="4"/>
    </row>
    <row r="69" spans="1:6" x14ac:dyDescent="0.25">
      <c r="A69" s="17"/>
      <c r="B69" s="4" t="s">
        <v>550</v>
      </c>
      <c r="C69" s="6" t="s">
        <v>602</v>
      </c>
      <c r="D69" s="24">
        <f>ROUND(D24*Setup!$C$5,2)</f>
        <v>95.83</v>
      </c>
      <c r="E69" s="4"/>
      <c r="F69" s="4"/>
    </row>
    <row r="70" spans="1:6" x14ac:dyDescent="0.25">
      <c r="A70" s="17"/>
      <c r="B70" s="4" t="s">
        <v>603</v>
      </c>
      <c r="C70" s="6" t="s">
        <v>604</v>
      </c>
      <c r="D70" s="24">
        <f>(D58+D59+D61+D60)*D13+D62+D63+D64+D65+D66+D67+D68+D69</f>
        <v>2674.31</v>
      </c>
      <c r="E70" s="4"/>
      <c r="F70" s="4"/>
    </row>
    <row r="71" spans="1:6" x14ac:dyDescent="0.25">
      <c r="A71" s="17"/>
      <c r="B71" s="4" t="s">
        <v>605</v>
      </c>
      <c r="C71" s="6" t="s">
        <v>606</v>
      </c>
      <c r="D71" s="24">
        <f>D46*D13</f>
        <v>518</v>
      </c>
      <c r="E71" s="4"/>
      <c r="F71" s="4"/>
    </row>
    <row r="72" spans="1:6" x14ac:dyDescent="0.25">
      <c r="A72" s="17"/>
      <c r="B72" s="10" t="s">
        <v>74</v>
      </c>
      <c r="C72" s="6" t="s">
        <v>607</v>
      </c>
      <c r="D72" s="25">
        <f>D70+D71</f>
        <v>3192.31</v>
      </c>
      <c r="E72" s="4"/>
      <c r="F72" s="4"/>
    </row>
    <row r="73" spans="1:6" x14ac:dyDescent="0.25">
      <c r="A73" s="17"/>
      <c r="B73" s="10" t="s">
        <v>76</v>
      </c>
      <c r="C73" s="6" t="s">
        <v>77</v>
      </c>
      <c r="D73" s="25">
        <f>D72+D55</f>
        <v>3942.31</v>
      </c>
      <c r="E73" s="4"/>
      <c r="F73" s="4"/>
    </row>
    <row r="74" spans="1:6" x14ac:dyDescent="0.25">
      <c r="A74" s="17"/>
      <c r="B74" s="4" t="s">
        <v>608</v>
      </c>
      <c r="C74" s="6" t="s">
        <v>609</v>
      </c>
      <c r="D74" s="24">
        <f>D73-D56</f>
        <v>302.21</v>
      </c>
      <c r="E74" s="4"/>
      <c r="F74" s="4"/>
    </row>
    <row r="75" spans="1:6" x14ac:dyDescent="0.25">
      <c r="A75" s="17"/>
      <c r="B75" s="4" t="s">
        <v>610</v>
      </c>
      <c r="C75" s="6" t="s">
        <v>611</v>
      </c>
      <c r="D75" s="24">
        <f>D50+D40*D55</f>
        <v>2890.1</v>
      </c>
      <c r="E75" s="4"/>
      <c r="F75" s="4"/>
    </row>
    <row r="76" spans="1:6" x14ac:dyDescent="0.25">
      <c r="A76" s="17"/>
      <c r="B76" s="4" t="s">
        <v>612</v>
      </c>
      <c r="C76" s="6" t="s">
        <v>613</v>
      </c>
      <c r="D76" s="24">
        <f>IF(D44&gt;0,D16/D44,0)</f>
        <v>140</v>
      </c>
      <c r="E76" s="4"/>
      <c r="F76" s="4"/>
    </row>
    <row r="77" spans="1:6" x14ac:dyDescent="0.25">
      <c r="A77" s="17"/>
      <c r="B77" s="4" t="s">
        <v>614</v>
      </c>
      <c r="C77" s="6" t="s">
        <v>615</v>
      </c>
      <c r="D77" s="12" t="str">
        <f>IF(AND(D44&gt;0,D76&gt;D14),"YES","No")</f>
        <v>No</v>
      </c>
      <c r="E77" s="4"/>
      <c r="F77" s="4"/>
    </row>
    <row r="78" spans="1:6" x14ac:dyDescent="0.25">
      <c r="A78" s="17"/>
      <c r="B78" s="4" t="s">
        <v>616</v>
      </c>
      <c r="C78" s="6" t="s">
        <v>617</v>
      </c>
      <c r="D78" s="24">
        <f>IF(D44&gt;0,D17/D44,0)</f>
        <v>171.26666667</v>
      </c>
      <c r="E78" s="4"/>
      <c r="F78" s="4"/>
    </row>
    <row r="79" spans="1:6" x14ac:dyDescent="0.25">
      <c r="A79" s="17"/>
      <c r="B79" s="4" t="s">
        <v>618</v>
      </c>
      <c r="C79" s="6" t="s">
        <v>619</v>
      </c>
      <c r="D79" s="24">
        <f>ROUND(D16+D18+D19-D17,2)</f>
        <v>0</v>
      </c>
      <c r="E79" s="4"/>
      <c r="F79" s="4"/>
    </row>
    <row r="80" spans="1:6" x14ac:dyDescent="0.25">
      <c r="A80" s="17"/>
      <c r="B80" s="4" t="s">
        <v>620</v>
      </c>
      <c r="C80" s="6" t="s">
        <v>621</v>
      </c>
      <c r="D80" s="24">
        <f>D46+D58+D59+D61+D60</f>
        <v>1339.95</v>
      </c>
      <c r="E80" s="4"/>
      <c r="F80" s="4"/>
    </row>
    <row r="82" spans="1:13" x14ac:dyDescent="0.25">
      <c r="A82" s="3" t="s">
        <v>622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6" x14ac:dyDescent="0.25">
      <c r="A83" s="16" t="s">
        <v>517</v>
      </c>
      <c r="B83" s="16" t="s">
        <v>518</v>
      </c>
      <c r="C83" s="16" t="s">
        <v>519</v>
      </c>
      <c r="D83" s="16" t="s">
        <v>758</v>
      </c>
      <c r="E83" s="16" t="s">
        <v>624</v>
      </c>
      <c r="F83" s="16" t="s">
        <v>625</v>
      </c>
    </row>
    <row r="84" spans="1:6" x14ac:dyDescent="0.25">
      <c r="A84" s="17" t="s">
        <v>626</v>
      </c>
      <c r="B84" s="4" t="s">
        <v>61</v>
      </c>
      <c r="C84" s="6" t="s">
        <v>627</v>
      </c>
      <c r="D84" s="18">
        <f>D44</f>
        <v>3</v>
      </c>
      <c r="E84" s="26"/>
      <c r="F84" s="27" t="str">
        <f>IF(E84="","",IF(ABS(E84-D84)&lt;=Setup!$C$6,"PASS","FAIL"))</f>
        <v/>
      </c>
    </row>
    <row r="85" spans="1:6" x14ac:dyDescent="0.25">
      <c r="A85" s="17" t="s">
        <v>628</v>
      </c>
      <c r="B85" s="4" t="s">
        <v>571</v>
      </c>
      <c r="C85" s="6" t="s">
        <v>627</v>
      </c>
      <c r="D85" s="18">
        <f>D45</f>
        <v>2</v>
      </c>
      <c r="E85" s="26"/>
      <c r="F85" s="27" t="str">
        <f>IF(E85="","",IF(ABS(E85-D85)&lt;=Setup!$C$6,"PASS","FAIL"))</f>
        <v/>
      </c>
    </row>
    <row r="86" spans="1:6" x14ac:dyDescent="0.25">
      <c r="A86" s="17" t="s">
        <v>629</v>
      </c>
      <c r="B86" s="4" t="s">
        <v>630</v>
      </c>
      <c r="C86" s="6" t="s">
        <v>627</v>
      </c>
      <c r="D86" s="24">
        <f>D46</f>
        <v>259</v>
      </c>
      <c r="E86" s="28"/>
      <c r="F86" s="27" t="str">
        <f>IF(E86="","",IF(ABS(E86-D86)&lt;=Setup!$C$6,"PASS","FAIL"))</f>
        <v/>
      </c>
    </row>
    <row r="87" spans="1:6" x14ac:dyDescent="0.25">
      <c r="A87" s="17" t="s">
        <v>631</v>
      </c>
      <c r="B87" s="4" t="s">
        <v>66</v>
      </c>
      <c r="C87" s="6" t="s">
        <v>627</v>
      </c>
      <c r="D87" s="24">
        <f>D48</f>
        <v>1217.8</v>
      </c>
      <c r="E87" s="28"/>
      <c r="F87" s="27" t="str">
        <f>IF(E87="","",IF(ABS(E87-D87)&lt;=Setup!$C$6,"PASS","FAIL"))</f>
        <v/>
      </c>
    </row>
    <row r="88" spans="1:6" x14ac:dyDescent="0.25">
      <c r="A88" s="17" t="s">
        <v>632</v>
      </c>
      <c r="B88" s="4" t="s">
        <v>68</v>
      </c>
      <c r="C88" s="6" t="s">
        <v>627</v>
      </c>
      <c r="D88" s="24">
        <f>D50</f>
        <v>2890.1</v>
      </c>
      <c r="E88" s="28"/>
      <c r="F88" s="27" t="str">
        <f>IF(E88="","",IF(ABS(E88-D88)&lt;=Setup!$C$6,"PASS","FAIL"))</f>
        <v/>
      </c>
    </row>
    <row r="89" spans="1:6" x14ac:dyDescent="0.25">
      <c r="A89" s="17" t="s">
        <v>633</v>
      </c>
      <c r="B89" s="4" t="s">
        <v>634</v>
      </c>
      <c r="C89" s="6" t="s">
        <v>635</v>
      </c>
      <c r="D89" s="24">
        <f>D75</f>
        <v>2890.1</v>
      </c>
      <c r="E89" s="28"/>
      <c r="F89" s="27" t="str">
        <f>IF(E89="","",IF(ABS(E89-D89)&lt;=Setup!$C$6,"PASS","FAIL"))</f>
        <v/>
      </c>
    </row>
    <row r="90" spans="1:6" x14ac:dyDescent="0.25">
      <c r="A90" s="17" t="s">
        <v>636</v>
      </c>
      <c r="B90" s="4" t="s">
        <v>66</v>
      </c>
      <c r="C90" s="6" t="s">
        <v>88</v>
      </c>
      <c r="D90" s="24">
        <f>D48</f>
        <v>1217.8</v>
      </c>
      <c r="E90" s="28"/>
      <c r="F90" s="27" t="str">
        <f>IF(E90="","",IF(ABS(E90-D90)&lt;=Setup!$C$6,"PASS","FAIL"))</f>
        <v/>
      </c>
    </row>
    <row r="91" spans="1:6" x14ac:dyDescent="0.25">
      <c r="A91" s="17" t="s">
        <v>637</v>
      </c>
      <c r="B91" s="4" t="s">
        <v>68</v>
      </c>
      <c r="C91" s="6" t="s">
        <v>88</v>
      </c>
      <c r="D91" s="24">
        <f>D50</f>
        <v>2890.1</v>
      </c>
      <c r="E91" s="28"/>
      <c r="F91" s="27" t="str">
        <f>IF(E91="","",IF(ABS(E91-D91)&lt;=Setup!$C$6,"PASS","FAIL"))</f>
        <v/>
      </c>
    </row>
    <row r="92" spans="1:6" x14ac:dyDescent="0.25">
      <c r="A92" s="17" t="s">
        <v>638</v>
      </c>
      <c r="B92" s="4" t="s">
        <v>71</v>
      </c>
      <c r="C92" s="6" t="s">
        <v>639</v>
      </c>
      <c r="D92" s="24">
        <f>D55</f>
        <v>750</v>
      </c>
      <c r="E92" s="28"/>
      <c r="F92" s="27" t="str">
        <f>IF(E92="","",IF(ABS(E92-D92)&lt;=Setup!$C$6,"PASS","FAIL"))</f>
        <v/>
      </c>
    </row>
    <row r="93" spans="1:6" x14ac:dyDescent="0.25">
      <c r="A93" s="17" t="s">
        <v>640</v>
      </c>
      <c r="B93" s="4" t="s">
        <v>586</v>
      </c>
      <c r="C93" s="6" t="s">
        <v>88</v>
      </c>
      <c r="D93" s="24">
        <f>D56</f>
        <v>3640.1</v>
      </c>
      <c r="E93" s="28"/>
      <c r="F93" s="27" t="str">
        <f>IF(E93="","",IF(ABS(E93-D93)&lt;=Setup!$C$6,"PASS","FAIL"))</f>
        <v/>
      </c>
    </row>
    <row r="94" spans="1:6" x14ac:dyDescent="0.25">
      <c r="A94" s="17" t="s">
        <v>641</v>
      </c>
      <c r="B94" s="4" t="s">
        <v>74</v>
      </c>
      <c r="C94" s="6" t="s">
        <v>88</v>
      </c>
      <c r="D94" s="24">
        <f>D72</f>
        <v>3192.31</v>
      </c>
      <c r="E94" s="28"/>
      <c r="F94" s="27" t="str">
        <f>IF(E94="","",IF(ABS(E94-D94)&lt;=Setup!$C$6,"PASS","FAIL"))</f>
        <v/>
      </c>
    </row>
    <row r="95" spans="1:6" x14ac:dyDescent="0.25">
      <c r="A95" s="17" t="s">
        <v>642</v>
      </c>
      <c r="B95" s="4" t="s">
        <v>76</v>
      </c>
      <c r="C95" s="6" t="s">
        <v>88</v>
      </c>
      <c r="D95" s="24">
        <f>D73</f>
        <v>3942.31</v>
      </c>
      <c r="E95" s="28"/>
      <c r="F95" s="27" t="str">
        <f>IF(E95="","",IF(ABS(E95-D95)&lt;=Setup!$C$6,"PASS","FAIL"))</f>
        <v/>
      </c>
    </row>
    <row r="96" spans="1:6" x14ac:dyDescent="0.25">
      <c r="A96" s="17" t="s">
        <v>759</v>
      </c>
      <c r="B96" s="4" t="s">
        <v>580</v>
      </c>
      <c r="C96" s="6" t="s">
        <v>760</v>
      </c>
      <c r="D96" s="24">
        <f>D51</f>
        <v>750</v>
      </c>
      <c r="E96" s="28"/>
      <c r="F96" s="27" t="str">
        <f>IF(E96="","",IF(ABS(E96-D96)&lt;=Setup!$C$6,"PASS","FAIL"))</f>
        <v/>
      </c>
    </row>
    <row r="97" spans="1:6" x14ac:dyDescent="0.25">
      <c r="A97" s="17" t="s">
        <v>643</v>
      </c>
      <c r="B97" s="4" t="s">
        <v>644</v>
      </c>
      <c r="C97" s="6" t="s">
        <v>645</v>
      </c>
      <c r="D97" s="24">
        <f>D58</f>
        <v>579.26</v>
      </c>
      <c r="E97" s="28"/>
      <c r="F97" s="27" t="str">
        <f>IF(E97="","",IF(ABS(E97-D97)&lt;=Setup!$C$6,"PASS","FAIL"))</f>
        <v/>
      </c>
    </row>
    <row r="98" spans="1:6" x14ac:dyDescent="0.25">
      <c r="A98" s="17" t="s">
        <v>761</v>
      </c>
      <c r="B98" s="4" t="s">
        <v>762</v>
      </c>
      <c r="C98" s="6" t="s">
        <v>645</v>
      </c>
      <c r="D98" s="24">
        <f>D59</f>
        <v>434.05</v>
      </c>
      <c r="E98" s="28"/>
      <c r="F98" s="27" t="str">
        <f>IF(E98="","",IF(ABS(E98-D98)&lt;=Setup!$C$6,"PASS","FAIL"))</f>
        <v/>
      </c>
    </row>
    <row r="99" spans="1:6" x14ac:dyDescent="0.25">
      <c r="A99" s="17" t="s">
        <v>763</v>
      </c>
      <c r="B99" s="4" t="s">
        <v>764</v>
      </c>
      <c r="C99" s="6" t="s">
        <v>645</v>
      </c>
      <c r="D99" s="24">
        <f>D61</f>
        <v>67.64</v>
      </c>
      <c r="E99" s="28"/>
      <c r="F99" s="27" t="str">
        <f>IF(E99="","",IF(ABS(E99-D99)&lt;=Setup!$C$6,"PASS","FAIL"))</f>
        <v/>
      </c>
    </row>
    <row r="100" spans="1:6" x14ac:dyDescent="0.25">
      <c r="A100" s="17" t="s">
        <v>765</v>
      </c>
      <c r="B100" s="4" t="s">
        <v>766</v>
      </c>
      <c r="C100" s="6" t="s">
        <v>645</v>
      </c>
      <c r="D100" s="24">
        <f>D62</f>
        <v>242.39</v>
      </c>
      <c r="E100" s="28"/>
      <c r="F100" s="27" t="str">
        <f>IF(E100="","",IF(ABS(E100-D100)&lt;=Setup!$C$6,"PASS","FAIL"))</f>
        <v/>
      </c>
    </row>
    <row r="101" spans="1:6" x14ac:dyDescent="0.25">
      <c r="A101" s="17" t="s">
        <v>646</v>
      </c>
      <c r="B101" s="4" t="s">
        <v>647</v>
      </c>
      <c r="C101" s="6" t="s">
        <v>645</v>
      </c>
      <c r="D101" s="24">
        <f>D63</f>
        <v>46.79</v>
      </c>
      <c r="E101" s="28"/>
      <c r="F101" s="27" t="str">
        <f>IF(E101="","",IF(ABS(E101-D101)&lt;=Setup!$C$6,"PASS","FAIL"))</f>
        <v/>
      </c>
    </row>
    <row r="102" spans="1:6" x14ac:dyDescent="0.25">
      <c r="A102" s="17" t="s">
        <v>648</v>
      </c>
      <c r="B102" s="4" t="s">
        <v>649</v>
      </c>
      <c r="C102" s="6" t="s">
        <v>645</v>
      </c>
      <c r="D102" s="24">
        <f>D64</f>
        <v>31.57</v>
      </c>
      <c r="E102" s="28"/>
      <c r="F102" s="27" t="str">
        <f>IF(E102="","",IF(ABS(E102-D102)&lt;=Setup!$C$6,"PASS","FAIL"))</f>
        <v/>
      </c>
    </row>
    <row r="103" spans="1:6" x14ac:dyDescent="0.25">
      <c r="A103" s="17" t="s">
        <v>767</v>
      </c>
      <c r="B103" s="4" t="s">
        <v>768</v>
      </c>
      <c r="C103" s="6" t="s">
        <v>645</v>
      </c>
      <c r="D103" s="24">
        <f>D68</f>
        <v>95.83</v>
      </c>
      <c r="E103" s="28"/>
      <c r="F103" s="27" t="str">
        <f>IF(E103="","",IF(ABS(E103-D103)&lt;=Setup!$C$6,"PASS","FAIL"))</f>
        <v/>
      </c>
    </row>
    <row r="104" spans="1:6" x14ac:dyDescent="0.25">
      <c r="A104" s="17" t="s">
        <v>769</v>
      </c>
      <c r="B104" s="4" t="s">
        <v>770</v>
      </c>
      <c r="C104" s="6" t="s">
        <v>645</v>
      </c>
      <c r="D104" s="24">
        <f>D69</f>
        <v>95.83</v>
      </c>
      <c r="E104" s="28"/>
      <c r="F104" s="27" t="str">
        <f>IF(E104="","",IF(ABS(E104-D104)&lt;=Setup!$C$6,"PASS","FAIL"))</f>
        <v/>
      </c>
    </row>
    <row r="105" spans="1:6" x14ac:dyDescent="0.25">
      <c r="A105" s="17" t="s">
        <v>654</v>
      </c>
      <c r="B105" s="4" t="s">
        <v>655</v>
      </c>
      <c r="C105" s="6" t="s">
        <v>656</v>
      </c>
      <c r="D105" s="24">
        <f>D56</f>
        <v>3640.1</v>
      </c>
      <c r="E105" s="28"/>
      <c r="F105" s="27" t="str">
        <f>IF(E105="","",IF(ABS(E105-D105)&lt;=Setup!$C$6,"PASS","FAIL"))</f>
        <v/>
      </c>
    </row>
    <row r="106" spans="1:6" x14ac:dyDescent="0.25">
      <c r="A106" s="17" t="s">
        <v>657</v>
      </c>
      <c r="B106" s="4" t="s">
        <v>658</v>
      </c>
      <c r="C106" s="6" t="s">
        <v>659</v>
      </c>
      <c r="D106" s="24">
        <f>D73</f>
        <v>3942.31</v>
      </c>
      <c r="E106" s="28"/>
      <c r="F106" s="27" t="str">
        <f>IF(E106="","",IF(ABS(E106-D106)&lt;=Setup!$C$6,"PASS","FAIL"))</f>
        <v/>
      </c>
    </row>
    <row r="107" spans="1:6" x14ac:dyDescent="0.25">
      <c r="A107" s="17" t="s">
        <v>660</v>
      </c>
      <c r="B107" s="4" t="s">
        <v>66</v>
      </c>
      <c r="C107" s="6" t="s">
        <v>93</v>
      </c>
      <c r="D107" s="24">
        <f>D80</f>
        <v>1339.95</v>
      </c>
      <c r="E107" s="28"/>
      <c r="F107" s="27" t="str">
        <f>IF(E107="","",IF(ABS(E107-D107)&lt;=Setup!$C$6,"PASS","FAIL"))</f>
        <v/>
      </c>
    </row>
    <row r="108" spans="1:6" x14ac:dyDescent="0.25">
      <c r="A108" s="17" t="s">
        <v>661</v>
      </c>
      <c r="B108" s="4" t="s">
        <v>68</v>
      </c>
      <c r="C108" s="6" t="s">
        <v>93</v>
      </c>
      <c r="D108" s="24">
        <f>D72</f>
        <v>3192.31</v>
      </c>
      <c r="E108" s="28"/>
      <c r="F108" s="27" t="str">
        <f>IF(E108="","",IF(ABS(E108-D108)&lt;=Setup!$C$6,"PASS","FAIL"))</f>
        <v/>
      </c>
    </row>
    <row r="109" spans="1:6" x14ac:dyDescent="0.25">
      <c r="A109" s="17" t="s">
        <v>662</v>
      </c>
      <c r="B109" s="4" t="s">
        <v>71</v>
      </c>
      <c r="C109" s="6" t="s">
        <v>93</v>
      </c>
      <c r="D109" s="24">
        <f>D55</f>
        <v>750</v>
      </c>
      <c r="E109" s="28"/>
      <c r="F109" s="27" t="str">
        <f>IF(E109="","",IF(ABS(E109-D109)&lt;=Setup!$C$6,"PASS","FAIL"))</f>
        <v/>
      </c>
    </row>
    <row r="110" spans="1:6" x14ac:dyDescent="0.25">
      <c r="A110" s="17" t="s">
        <v>663</v>
      </c>
      <c r="B110" s="4" t="s">
        <v>664</v>
      </c>
      <c r="C110" s="6" t="s">
        <v>93</v>
      </c>
      <c r="D110" s="24">
        <f>D73</f>
        <v>3942.31</v>
      </c>
      <c r="E110" s="28"/>
      <c r="F110" s="27" t="str">
        <f>IF(E110="","",IF(ABS(E110-D110)&lt;=Setup!$C$6,"PASS","FAIL"))</f>
        <v/>
      </c>
    </row>
    <row r="111" spans="1:6" x14ac:dyDescent="0.25">
      <c r="A111" s="17" t="s">
        <v>665</v>
      </c>
      <c r="B111" s="4" t="s">
        <v>666</v>
      </c>
      <c r="C111" s="6" t="s">
        <v>667</v>
      </c>
      <c r="D111" s="24">
        <f>D76</f>
        <v>140</v>
      </c>
      <c r="E111" s="28"/>
      <c r="F111" s="27" t="str">
        <f>IF(E111="","",IF(ABS(E111-D111)&lt;=Setup!$C$6,"PASS","FAIL"))</f>
        <v/>
      </c>
    </row>
    <row r="112" spans="1:6" x14ac:dyDescent="0.25">
      <c r="A112" s="17" t="s">
        <v>668</v>
      </c>
      <c r="B112" s="4" t="s">
        <v>669</v>
      </c>
      <c r="C112" s="6" t="s">
        <v>83</v>
      </c>
      <c r="D112" s="12" t="str">
        <f>D77</f>
        <v>No</v>
      </c>
      <c r="E112" s="9"/>
      <c r="F112" s="27" t="str">
        <f>IF(E112="","",IF(UPPER(E112)=UPPER(D112),"PASS","FAIL"))</f>
        <v/>
      </c>
    </row>
    <row r="113" spans="1:6" x14ac:dyDescent="0.25">
      <c r="A113" s="17" t="s">
        <v>670</v>
      </c>
      <c r="B113" s="4" t="s">
        <v>616</v>
      </c>
      <c r="C113" s="6" t="s">
        <v>671</v>
      </c>
      <c r="D113" s="24">
        <f>D78</f>
        <v>171.26666667</v>
      </c>
      <c r="E113" s="15"/>
      <c r="F113" s="15" t="s">
        <v>672</v>
      </c>
    </row>
    <row r="114" spans="2:2" x14ac:dyDescent="0.25">
      <c r="B114" s="2" t="s">
        <v>673</v>
      </c>
    </row>
    <row r="116" spans="1:13" x14ac:dyDescent="0.25">
      <c r="A116" s="3" t="s">
        <v>771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spans="1:6" x14ac:dyDescent="0.25">
      <c r="A117" s="16" t="s">
        <v>517</v>
      </c>
      <c r="B117" s="16" t="s">
        <v>675</v>
      </c>
      <c r="C117" s="16" t="s">
        <v>676</v>
      </c>
      <c r="D117" s="16" t="s">
        <v>677</v>
      </c>
      <c r="E117" s="16" t="s">
        <v>624</v>
      </c>
      <c r="F117" s="16" t="s">
        <v>625</v>
      </c>
    </row>
    <row r="118" spans="1:6" x14ac:dyDescent="0.25">
      <c r="A118" s="17"/>
      <c r="B118" s="4" t="s">
        <v>678</v>
      </c>
      <c r="C118" s="6" t="s">
        <v>679</v>
      </c>
      <c r="D118" s="20">
        <v>46342</v>
      </c>
      <c r="E118" s="4"/>
      <c r="F118" s="4"/>
    </row>
    <row r="119" spans="1:6" x14ac:dyDescent="0.25">
      <c r="A119" s="17"/>
      <c r="B119" s="4" t="s">
        <v>680</v>
      </c>
      <c r="C119" s="6"/>
      <c r="D119" s="20">
        <v>46345</v>
      </c>
      <c r="E119" s="4"/>
      <c r="F119" s="4"/>
    </row>
    <row r="120" spans="1:6" x14ac:dyDescent="0.25">
      <c r="A120" s="17"/>
      <c r="B120" s="4" t="s">
        <v>681</v>
      </c>
      <c r="C120" s="6" t="s">
        <v>682</v>
      </c>
      <c r="D120" s="21">
        <v>2</v>
      </c>
      <c r="E120" s="4"/>
      <c r="F120" s="4"/>
    </row>
    <row r="121" spans="1:6" x14ac:dyDescent="0.25">
      <c r="A121" s="17"/>
      <c r="B121" s="4" t="s">
        <v>537</v>
      </c>
      <c r="C121" s="6" t="s">
        <v>682</v>
      </c>
      <c r="D121" s="7">
        <v>74</v>
      </c>
      <c r="E121" s="4"/>
      <c r="F121" s="4"/>
    </row>
    <row r="123" spans="1:13" x14ac:dyDescent="0.25">
      <c r="A123" s="16" t="s">
        <v>517</v>
      </c>
      <c r="B123" s="16" t="s">
        <v>683</v>
      </c>
      <c r="C123" s="16" t="s">
        <v>684</v>
      </c>
      <c r="D123" s="16" t="s">
        <v>685</v>
      </c>
      <c r="E123" s="16" t="s">
        <v>686</v>
      </c>
      <c r="F123" s="16" t="s">
        <v>687</v>
      </c>
      <c r="G123" s="16" t="s">
        <v>688</v>
      </c>
      <c r="H123" s="16" t="s">
        <v>689</v>
      </c>
      <c r="I123" s="16" t="s">
        <v>690</v>
      </c>
      <c r="J123" s="16" t="s">
        <v>691</v>
      </c>
      <c r="K123" s="16" t="s">
        <v>692</v>
      </c>
      <c r="L123" s="16" t="s">
        <v>625</v>
      </c>
      <c r="M123" s="16" t="s">
        <v>693</v>
      </c>
    </row>
    <row r="124" spans="1:13" x14ac:dyDescent="0.25">
      <c r="A124" s="17" t="s">
        <v>694</v>
      </c>
      <c r="B124" s="4" t="s">
        <v>695</v>
      </c>
      <c r="C124" s="12" t="str">
        <f>IF(D124&gt;0,"Main Actual Costs grid",IF(E124&gt;0,"Additional Expenses section","Not shown on the form"))</f>
        <v>Main Actual Costs grid</v>
      </c>
      <c r="D124" s="24">
        <f>D17</f>
        <v>513.8</v>
      </c>
      <c r="E124" s="7">
        <v>521.4</v>
      </c>
      <c r="F124" s="29">
        <f>E124-D124</f>
        <v>7.6</v>
      </c>
      <c r="G124" s="30">
        <f>IF(D124&gt;0,(E124-D124)/D124,0)</f>
        <v>0.014791747762</v>
      </c>
      <c r="H124" s="17" t="str">
        <f>IF(AND(D124&gt;0,E124&gt;D124*1.1),"Y","N")</f>
        <v>N</v>
      </c>
      <c r="I124" s="17" t="str">
        <f>IF(AND(D124=0,E124&gt;0),"Y","N")</f>
        <v>N</v>
      </c>
      <c r="J124" s="17" t="str">
        <f>IF(OR(H124="Y",I124="Y"),"Y","N")</f>
        <v>N</v>
      </c>
      <c r="K124" s="9"/>
      <c r="L124" s="27" t="str">
        <f>IF(LEFT(C124,3)="Not","n/a",IF(K124="","",IF(UPPER(K124)=J124,"PASS","FAIL")))</f>
        <v/>
      </c>
      <c r="M124" s="9"/>
    </row>
    <row r="125" spans="1:13" x14ac:dyDescent="0.25">
      <c r="A125" s="17" t="s">
        <v>696</v>
      </c>
      <c r="B125" s="4" t="s">
        <v>544</v>
      </c>
      <c r="C125" s="12" t="str">
        <f>IF(D125&gt;0,"Main Actual Costs grid",IF(E125&gt;0,"Additional Expenses section","Not shown on the form"))</f>
        <v>Main Actual Costs grid</v>
      </c>
      <c r="D125" s="24">
        <f>D20</f>
        <v>385</v>
      </c>
      <c r="E125" s="7">
        <v>462</v>
      </c>
      <c r="F125" s="29">
        <f>E125-D125</f>
        <v>77</v>
      </c>
      <c r="G125" s="30">
        <f>IF(D125&gt;0,(E125-D125)/D125,0)</f>
        <v>0.2</v>
      </c>
      <c r="H125" s="17" t="str">
        <f>IF(AND(D125&gt;0,E125&gt;D125*1.1),"Y","N")</f>
        <v>Y</v>
      </c>
      <c r="I125" s="17" t="str">
        <f>IF(AND(D125=0,E125&gt;0),"Y","N")</f>
        <v>N</v>
      </c>
      <c r="J125" s="17" t="str">
        <f>IF(OR(H125="Y",I125="Y"),"Y","N")</f>
        <v>Y</v>
      </c>
      <c r="K125" s="9"/>
      <c r="L125" s="27" t="str">
        <f>IF(LEFT(C125,3)="Not","n/a",IF(K125="","",IF(UPPER(K125)=J125,"PASS","FAIL")))</f>
        <v/>
      </c>
      <c r="M125" s="9"/>
    </row>
    <row r="126" spans="1:13" x14ac:dyDescent="0.25">
      <c r="A126" s="17" t="s">
        <v>697</v>
      </c>
      <c r="B126" s="4" t="s">
        <v>546</v>
      </c>
      <c r="C126" s="12" t="str">
        <f>IF(D126&gt;0,"Main Actual Costs grid",IF(E126&gt;0,"Additional Expenses section","Not shown on the form"))</f>
        <v>Additional Expenses section</v>
      </c>
      <c r="D126" s="24">
        <f>D21</f>
        <v>0</v>
      </c>
      <c r="E126" s="7">
        <v>70</v>
      </c>
      <c r="F126" s="29">
        <f>E126-D126</f>
        <v>70</v>
      </c>
      <c r="G126" s="30">
        <f>IF(D126&gt;0,(E126-D126)/D126,0)</f>
        <v>0</v>
      </c>
      <c r="H126" s="17" t="str">
        <f>IF(AND(D126&gt;0,E126&gt;D126*1.1),"Y","N")</f>
        <v>N</v>
      </c>
      <c r="I126" s="17" t="str">
        <f>IF(AND(D126=0,E126&gt;0),"Y","N")</f>
        <v>Y</v>
      </c>
      <c r="J126" s="17" t="str">
        <f>IF(OR(H126="Y",I126="Y"),"Y","N")</f>
        <v>Y</v>
      </c>
      <c r="K126" s="9"/>
      <c r="L126" s="27" t="str">
        <f>IF(LEFT(C126,3)="Not","n/a",IF(K126="","",IF(UPPER(K126)=J126,"PASS","FAIL")))</f>
        <v/>
      </c>
      <c r="M126" s="9"/>
    </row>
    <row r="127" spans="1:13" x14ac:dyDescent="0.25">
      <c r="A127" s="17" t="s">
        <v>698</v>
      </c>
      <c r="B127" s="4" t="s">
        <v>547</v>
      </c>
      <c r="C127" s="12" t="str">
        <f>IF(D127&gt;0,"Main Actual Costs grid",IF(E127&gt;0,"Additional Expenses section","Not shown on the form"))</f>
        <v>Main Actual Costs grid</v>
      </c>
      <c r="D127" s="24">
        <f>D22</f>
        <v>60</v>
      </c>
      <c r="E127" s="7">
        <v>60</v>
      </c>
      <c r="F127" s="29">
        <f>E127-D127</f>
        <v>0</v>
      </c>
      <c r="G127" s="30">
        <f>IF(D127&gt;0,(E127-D127)/D127,0)</f>
        <v>0</v>
      </c>
      <c r="H127" s="17" t="str">
        <f>IF(AND(D127&gt;0,E127&gt;D127*1.1),"Y","N")</f>
        <v>N</v>
      </c>
      <c r="I127" s="17" t="str">
        <f>IF(AND(D127=0,E127&gt;0),"Y","N")</f>
        <v>N</v>
      </c>
      <c r="J127" s="17" t="str">
        <f>IF(OR(H127="Y",I127="Y"),"Y","N")</f>
        <v>N</v>
      </c>
      <c r="K127" s="9"/>
      <c r="L127" s="27" t="str">
        <f>IF(LEFT(C127,3)="Not","n/a",IF(K127="","",IF(UPPER(K127)=J127,"PASS","FAIL")))</f>
        <v/>
      </c>
      <c r="M127" s="9"/>
    </row>
    <row r="128" spans="1:13" x14ac:dyDescent="0.25">
      <c r="A128" s="17" t="s">
        <v>699</v>
      </c>
      <c r="B128" s="4" t="s">
        <v>551</v>
      </c>
      <c r="C128" s="12" t="str">
        <f>IF(D128&gt;0,"Main Actual Costs grid",IF(E128&gt;0,"Additional Expenses section","Not shown on the form"))</f>
        <v>Main Actual Costs grid</v>
      </c>
      <c r="D128" s="24">
        <f>D25</f>
        <v>215</v>
      </c>
      <c r="E128" s="7">
        <v>224.35</v>
      </c>
      <c r="F128" s="29">
        <f>E128-D128</f>
        <v>9.35</v>
      </c>
      <c r="G128" s="30">
        <f>IF(D128&gt;0,(E128-D128)/D128,0)</f>
        <v>0.043488372093</v>
      </c>
      <c r="H128" s="17" t="str">
        <f>IF(AND(D128&gt;0,E128&gt;D128*1.1),"Y","N")</f>
        <v>N</v>
      </c>
      <c r="I128" s="17" t="str">
        <f>IF(AND(D128=0,E128&gt;0),"Y","N")</f>
        <v>N</v>
      </c>
      <c r="J128" s="17" t="str">
        <f>IF(OR(H128="Y",I128="Y"),"Y","N")</f>
        <v>N</v>
      </c>
      <c r="K128" s="9"/>
      <c r="L128" s="27" t="str">
        <f>IF(LEFT(C128,3)="Not","n/a",IF(K128="","",IF(UPPER(K128)=J128,"PASS","FAIL")))</f>
        <v/>
      </c>
      <c r="M128" s="9"/>
    </row>
    <row r="129" spans="1:13" x14ac:dyDescent="0.25">
      <c r="A129" s="17" t="s">
        <v>700</v>
      </c>
      <c r="B129" s="4" t="s">
        <v>552</v>
      </c>
      <c r="C129" s="12" t="str">
        <f>IF(D129&gt;0,"Main Actual Costs grid",IF(E129&gt;0,"Additional Expenses section","Not shown on the form"))</f>
        <v>Main Actual Costs grid</v>
      </c>
      <c r="D129" s="24">
        <f>D26</f>
        <v>41.5</v>
      </c>
      <c r="E129" s="7">
        <v>47.1</v>
      </c>
      <c r="F129" s="29">
        <f>E129-D129</f>
        <v>5.6</v>
      </c>
      <c r="G129" s="30">
        <f>IF(D129&gt;0,(E129-D129)/D129,0)</f>
        <v>0.13493975904</v>
      </c>
      <c r="H129" s="17" t="str">
        <f>IF(AND(D129&gt;0,E129&gt;D129*1.1),"Y","N")</f>
        <v>Y</v>
      </c>
      <c r="I129" s="17" t="str">
        <f>IF(AND(D129=0,E129&gt;0),"Y","N")</f>
        <v>N</v>
      </c>
      <c r="J129" s="17" t="str">
        <f>IF(OR(H129="Y",I129="Y"),"Y","N")</f>
        <v>Y</v>
      </c>
      <c r="K129" s="9"/>
      <c r="L129" s="27" t="str">
        <f>IF(LEFT(C129,3)="Not","n/a",IF(K129="","",IF(UPPER(K129)=J129,"PASS","FAIL")))</f>
        <v/>
      </c>
      <c r="M129" s="9"/>
    </row>
    <row r="130" spans="1:13" x14ac:dyDescent="0.25">
      <c r="A130" s="17" t="s">
        <v>701</v>
      </c>
      <c r="B130" s="4" t="s">
        <v>553</v>
      </c>
      <c r="C130" s="12" t="str">
        <f>IF(D130&gt;0,"Main Actual Costs grid",IF(E130&gt;0,"Additional Expenses section","Not shown on the form"))</f>
        <v>Main Actual Costs grid</v>
      </c>
      <c r="D130" s="24">
        <f>D27</f>
        <v>28</v>
      </c>
      <c r="E130" s="7">
        <v>28</v>
      </c>
      <c r="F130" s="29">
        <f>E130-D130</f>
        <v>0</v>
      </c>
      <c r="G130" s="30">
        <f>IF(D130&gt;0,(E130-D130)/D130,0)</f>
        <v>0</v>
      </c>
      <c r="H130" s="17" t="str">
        <f>IF(AND(D130&gt;0,E130&gt;D130*1.1),"Y","N")</f>
        <v>N</v>
      </c>
      <c r="I130" s="17" t="str">
        <f>IF(AND(D130=0,E130&gt;0),"Y","N")</f>
        <v>N</v>
      </c>
      <c r="J130" s="17" t="str">
        <f>IF(OR(H130="Y",I130="Y"),"Y","N")</f>
        <v>N</v>
      </c>
      <c r="K130" s="9"/>
      <c r="L130" s="27" t="str">
        <f>IF(LEFT(C130,3)="Not","n/a",IF(K130="","",IF(UPPER(K130)=J130,"PASS","FAIL")))</f>
        <v/>
      </c>
      <c r="M130" s="9"/>
    </row>
    <row r="131" spans="1:13" x14ac:dyDescent="0.25">
      <c r="A131" s="17" t="s">
        <v>702</v>
      </c>
      <c r="B131" s="4" t="s">
        <v>554</v>
      </c>
      <c r="C131" s="12" t="str">
        <f>IF(D131&gt;0,"Main Actual Costs grid",IF(E131&gt;0,"Additional Expenses section","Not shown on the form"))</f>
        <v>Additional Expenses section</v>
      </c>
      <c r="D131" s="24">
        <f>D28</f>
        <v>0</v>
      </c>
      <c r="E131" s="7">
        <v>14.25</v>
      </c>
      <c r="F131" s="29">
        <f>E131-D131</f>
        <v>14.25</v>
      </c>
      <c r="G131" s="30">
        <f>IF(D131&gt;0,(E131-D131)/D131,0)</f>
        <v>0</v>
      </c>
      <c r="H131" s="17" t="str">
        <f>IF(AND(D131&gt;0,E131&gt;D131*1.1),"Y","N")</f>
        <v>N</v>
      </c>
      <c r="I131" s="17" t="str">
        <f>IF(AND(D131=0,E131&gt;0),"Y","N")</f>
        <v>Y</v>
      </c>
      <c r="J131" s="17" t="str">
        <f>IF(OR(H131="Y",I131="Y"),"Y","N")</f>
        <v>Y</v>
      </c>
      <c r="K131" s="9"/>
      <c r="L131" s="27" t="str">
        <f>IF(LEFT(C131,3)="Not","n/a",IF(K131="","",IF(UPPER(K131)=J131,"PASS","FAIL")))</f>
        <v/>
      </c>
      <c r="M131" s="9"/>
    </row>
    <row r="132" spans="1:13" x14ac:dyDescent="0.25">
      <c r="A132" s="17" t="s">
        <v>703</v>
      </c>
      <c r="B132" s="4" t="s">
        <v>555</v>
      </c>
      <c r="C132" s="12" t="str">
        <f>IF(D132&gt;0,"Main Actual Costs grid",IF(E132&gt;0,"Additional Expenses section","Not shown on the form"))</f>
        <v>Not shown on the form</v>
      </c>
      <c r="D132" s="24">
        <f>D29</f>
        <v>0</v>
      </c>
      <c r="E132" s="7">
        <v>0</v>
      </c>
      <c r="F132" s="29">
        <f>E132-D132</f>
        <v>0</v>
      </c>
      <c r="G132" s="30">
        <f>IF(D132&gt;0,(E132-D132)/D132,0)</f>
        <v>0</v>
      </c>
      <c r="H132" s="17" t="str">
        <f>IF(AND(D132&gt;0,E132&gt;D132*1.1),"Y","N")</f>
        <v>N</v>
      </c>
      <c r="I132" s="17" t="str">
        <f>IF(AND(D132=0,E132&gt;0),"Y","N")</f>
        <v>N</v>
      </c>
      <c r="J132" s="17" t="str">
        <f>IF(OR(H132="Y",I132="Y"),"Y","N")</f>
        <v>N</v>
      </c>
      <c r="K132" s="9"/>
      <c r="L132" s="27" t="str">
        <f>IF(LEFT(C132,3)="Not","n/a",IF(K132="","",IF(UPPER(K132)=J132,"PASS","FAIL")))</f>
        <v>n/a</v>
      </c>
      <c r="M132" s="9"/>
    </row>
    <row r="133" spans="1:13" x14ac:dyDescent="0.25">
      <c r="A133" s="17" t="s">
        <v>704</v>
      </c>
      <c r="B133" s="4" t="s">
        <v>556</v>
      </c>
      <c r="C133" s="12" t="str">
        <f>IF(D133&gt;0,"Main Actual Costs grid",IF(E133&gt;0,"Additional Expenses section","Not shown on the form"))</f>
        <v>Not shown on the form</v>
      </c>
      <c r="D133" s="24">
        <f>D30</f>
        <v>0</v>
      </c>
      <c r="E133" s="7">
        <v>0</v>
      </c>
      <c r="F133" s="29">
        <f>E133-D133</f>
        <v>0</v>
      </c>
      <c r="G133" s="30">
        <f>IF(D133&gt;0,(E133-D133)/D133,0)</f>
        <v>0</v>
      </c>
      <c r="H133" s="17" t="str">
        <f>IF(AND(D133&gt;0,E133&gt;D133*1.1),"Y","N")</f>
        <v>N</v>
      </c>
      <c r="I133" s="17" t="str">
        <f>IF(AND(D133=0,E133&gt;0),"Y","N")</f>
        <v>N</v>
      </c>
      <c r="J133" s="17" t="str">
        <f>IF(OR(H133="Y",I133="Y"),"Y","N")</f>
        <v>N</v>
      </c>
      <c r="K133" s="9"/>
      <c r="L133" s="27" t="str">
        <f>IF(LEFT(C133,3)="Not","n/a",IF(K133="","",IF(UPPER(K133)=J133,"PASS","FAIL")))</f>
        <v>n/a</v>
      </c>
      <c r="M133" s="9"/>
    </row>
    <row r="134" spans="1:13" x14ac:dyDescent="0.25">
      <c r="A134" s="17" t="s">
        <v>705</v>
      </c>
      <c r="B134" s="4" t="s">
        <v>548</v>
      </c>
      <c r="C134" s="12" t="str">
        <f>IF(D134&gt;0,"Main Actual Costs grid",IF(E134&gt;0,"Additional Expenses section","Not shown on the form"))</f>
        <v>Main Actual Costs grid</v>
      </c>
      <c r="D134" s="24">
        <f>D23</f>
        <v>85</v>
      </c>
      <c r="E134" s="7">
        <v>85</v>
      </c>
      <c r="F134" s="29">
        <f>E134-D134</f>
        <v>0</v>
      </c>
      <c r="G134" s="30">
        <f>IF(D134&gt;0,(E134-D134)/D134,0)</f>
        <v>0</v>
      </c>
      <c r="H134" s="17" t="str">
        <f>IF(AND(D134&gt;0,E134&gt;D134*1.1),"Y","N")</f>
        <v>N</v>
      </c>
      <c r="I134" s="17" t="str">
        <f>IF(AND(D134=0,E134&gt;0),"Y","N")</f>
        <v>N</v>
      </c>
      <c r="J134" s="17" t="str">
        <f>IF(OR(H134="Y",I134="Y"),"Y","N")</f>
        <v>N</v>
      </c>
      <c r="K134" s="9"/>
      <c r="L134" s="27" t="str">
        <f>IF(LEFT(C134,3)="Not","n/a",IF(K134="","",IF(UPPER(K134)=J134,"PASS","FAIL")))</f>
        <v/>
      </c>
      <c r="M134" s="9"/>
    </row>
    <row r="135" spans="1:13" x14ac:dyDescent="0.25">
      <c r="A135" s="17" t="s">
        <v>706</v>
      </c>
      <c r="B135" s="4" t="s">
        <v>550</v>
      </c>
      <c r="C135" s="12" t="str">
        <f>IF(D135&gt;0,"Main Actual Costs grid",IF(E135&gt;0,"Additional Expenses section","Not shown on the form"))</f>
        <v>Main Actual Costs grid</v>
      </c>
      <c r="D135" s="24">
        <f>D24</f>
        <v>85</v>
      </c>
      <c r="E135" s="7">
        <v>85</v>
      </c>
      <c r="F135" s="29">
        <f>E135-D135</f>
        <v>0</v>
      </c>
      <c r="G135" s="30">
        <f>IF(D135&gt;0,(E135-D135)/D135,0)</f>
        <v>0</v>
      </c>
      <c r="H135" s="17" t="str">
        <f>IF(AND(D135&gt;0,E135&gt;D135*1.1),"Y","N")</f>
        <v>N</v>
      </c>
      <c r="I135" s="17" t="str">
        <f>IF(AND(D135=0,E135&gt;0),"Y","N")</f>
        <v>N</v>
      </c>
      <c r="J135" s="17" t="str">
        <f>IF(OR(H135="Y",I135="Y"),"Y","N")</f>
        <v>N</v>
      </c>
      <c r="K135" s="9"/>
      <c r="L135" s="27" t="str">
        <f>IF(LEFT(C135,3)="Not","n/a",IF(K135="","",IF(UPPER(K135)=J135,"PASS","FAIL")))</f>
        <v/>
      </c>
      <c r="M135" s="9"/>
    </row>
    <row r="137" spans="2:3" x14ac:dyDescent="0.25">
      <c r="B137" s="22" t="s">
        <v>772</v>
      </c>
      <c r="C137" s="22"/>
    </row>
    <row r="138" spans="2:3" x14ac:dyDescent="0.25">
      <c r="B138" s="4" t="s">
        <v>544</v>
      </c>
      <c r="C138" s="8" t="s">
        <v>773</v>
      </c>
    </row>
    <row r="139" spans="2:3" x14ac:dyDescent="0.25">
      <c r="B139" s="4" t="s">
        <v>552</v>
      </c>
      <c r="C139" s="8" t="s">
        <v>774</v>
      </c>
    </row>
    <row r="140" spans="2:3" x14ac:dyDescent="0.25">
      <c r="B140" s="4" t="s">
        <v>546</v>
      </c>
      <c r="C140" s="8" t="s">
        <v>775</v>
      </c>
    </row>
    <row r="141" spans="2:3" x14ac:dyDescent="0.25">
      <c r="B141" s="4" t="s">
        <v>554</v>
      </c>
      <c r="C141" s="8" t="s">
        <v>776</v>
      </c>
    </row>
    <row r="143" spans="1:6" x14ac:dyDescent="0.25">
      <c r="A143" s="16" t="s">
        <v>517</v>
      </c>
      <c r="B143" s="16" t="s">
        <v>707</v>
      </c>
      <c r="C143" s="16" t="s">
        <v>708</v>
      </c>
      <c r="D143" s="16" t="s">
        <v>709</v>
      </c>
      <c r="E143" s="16" t="s">
        <v>624</v>
      </c>
      <c r="F143" s="16" t="s">
        <v>625</v>
      </c>
    </row>
    <row r="144" spans="1:6" x14ac:dyDescent="0.25">
      <c r="A144" s="17" t="s">
        <v>710</v>
      </c>
      <c r="B144" s="4" t="s">
        <v>711</v>
      </c>
      <c r="C144" s="6" t="s">
        <v>712</v>
      </c>
      <c r="D144" s="24">
        <f>D55</f>
        <v>750</v>
      </c>
      <c r="E144" s="28"/>
      <c r="F144" s="27" t="str">
        <f>IF(E144="","",IF(ABS(E144-D144)&lt;=Setup!$C$6,"PASS","FAIL"))</f>
        <v/>
      </c>
    </row>
    <row r="145" spans="1:6" x14ac:dyDescent="0.25">
      <c r="A145" s="17" t="s">
        <v>713</v>
      </c>
      <c r="B145" s="4" t="s">
        <v>714</v>
      </c>
      <c r="C145" s="6" t="s">
        <v>715</v>
      </c>
      <c r="D145" s="24">
        <f>D121</f>
        <v>74</v>
      </c>
      <c r="E145" s="28"/>
      <c r="F145" s="27" t="str">
        <f>IF(E145="","",IF(ABS(E145-D145)&lt;=Setup!$C$6,"PASS","FAIL"))</f>
        <v/>
      </c>
    </row>
    <row r="146" spans="1:6" x14ac:dyDescent="0.25">
      <c r="A146" s="17" t="s">
        <v>716</v>
      </c>
      <c r="B146" s="4" t="s">
        <v>717</v>
      </c>
      <c r="C146" s="6" t="s">
        <v>715</v>
      </c>
      <c r="D146" s="18">
        <f>D13</f>
        <v>2</v>
      </c>
      <c r="E146" s="26"/>
      <c r="F146" s="27" t="str">
        <f>IF(E146="","",IF(ABS(E146-D146)&lt;=Setup!$C$6,"PASS","FAIL"))</f>
        <v/>
      </c>
    </row>
    <row r="147" spans="1:6" x14ac:dyDescent="0.25">
      <c r="A147" s="17" t="s">
        <v>718</v>
      </c>
      <c r="B147" s="4" t="s">
        <v>61</v>
      </c>
      <c r="C147" s="6" t="s">
        <v>719</v>
      </c>
      <c r="D147" s="18">
        <f>MAX(0,D119-D118)</f>
        <v>3</v>
      </c>
      <c r="E147" s="26"/>
      <c r="F147" s="27" t="str">
        <f>IF(E147="","",IF(ABS(E147-D147)&lt;=Setup!$C$6,"PASS","FAIL"))</f>
        <v/>
      </c>
    </row>
    <row r="148" spans="1:6" x14ac:dyDescent="0.25">
      <c r="A148" s="17" t="s">
        <v>720</v>
      </c>
      <c r="B148" s="4" t="s">
        <v>630</v>
      </c>
      <c r="C148" s="6" t="s">
        <v>64</v>
      </c>
      <c r="D148" s="24">
        <f>1.5*D121+MAX(D147-1,0)*D121</f>
        <v>259</v>
      </c>
      <c r="E148" s="28"/>
      <c r="F148" s="27" t="str">
        <f>IF(E148="","",IF(ABS(E148-D148)&lt;=Setup!$C$6,"PASS","FAIL"))</f>
        <v/>
      </c>
    </row>
    <row r="149" spans="1:6" x14ac:dyDescent="0.25">
      <c r="A149" s="17" t="s">
        <v>721</v>
      </c>
      <c r="B149" s="4" t="s">
        <v>722</v>
      </c>
      <c r="C149" s="6" t="s">
        <v>723</v>
      </c>
      <c r="D149" s="24">
        <f>E124+E125+E127+E126</f>
        <v>1113.4</v>
      </c>
      <c r="E149" s="15"/>
      <c r="F149" s="15" t="s">
        <v>672</v>
      </c>
    </row>
    <row r="150" spans="1:6" x14ac:dyDescent="0.25">
      <c r="A150" s="17" t="s">
        <v>724</v>
      </c>
      <c r="B150" s="4" t="s">
        <v>66</v>
      </c>
      <c r="C150" s="6" t="s">
        <v>725</v>
      </c>
      <c r="D150" s="24">
        <f>D148+D149</f>
        <v>1372.4</v>
      </c>
      <c r="E150" s="28"/>
      <c r="F150" s="27" t="str">
        <f>IF(E150="","",IF(ABS(E150-D150)&lt;=Setup!$C$6,"PASS","FAIL"))</f>
        <v/>
      </c>
    </row>
    <row r="151" spans="1:6" x14ac:dyDescent="0.25">
      <c r="A151" s="17" t="s">
        <v>726</v>
      </c>
      <c r="B151" s="4" t="s">
        <v>727</v>
      </c>
      <c r="C151" s="6" t="s">
        <v>579</v>
      </c>
      <c r="D151" s="24">
        <f>SUM(E128:E135)</f>
        <v>483.7</v>
      </c>
      <c r="E151" s="15"/>
      <c r="F151" s="15" t="s">
        <v>672</v>
      </c>
    </row>
    <row r="152" spans="1:6" x14ac:dyDescent="0.25">
      <c r="A152" s="17" t="s">
        <v>728</v>
      </c>
      <c r="B152" s="10" t="s">
        <v>68</v>
      </c>
      <c r="C152" s="6" t="s">
        <v>729</v>
      </c>
      <c r="D152" s="25">
        <f>D150*D120+D151</f>
        <v>3228.5</v>
      </c>
      <c r="E152" s="28"/>
      <c r="F152" s="27" t="str">
        <f>IF(E152="","",IF(ABS(E152-D152)&lt;=Setup!$C$6,"PASS","FAIL"))</f>
        <v/>
      </c>
    </row>
    <row r="153" spans="1:6" x14ac:dyDescent="0.25">
      <c r="A153" s="17" t="s">
        <v>730</v>
      </c>
      <c r="B153" s="4" t="s">
        <v>731</v>
      </c>
      <c r="C153" s="6" t="s">
        <v>732</v>
      </c>
      <c r="D153" s="24">
        <f>D55</f>
        <v>750</v>
      </c>
      <c r="E153" s="28"/>
      <c r="F153" s="27" t="str">
        <f>IF(E153="","",IF(ABS(E153-D153)&lt;=Setup!$C$6,"PASS","FAIL"))</f>
        <v/>
      </c>
    </row>
    <row r="154" spans="1:6" x14ac:dyDescent="0.25">
      <c r="A154" s="17" t="s">
        <v>733</v>
      </c>
      <c r="B154" s="10" t="s">
        <v>734</v>
      </c>
      <c r="C154" s="6" t="s">
        <v>587</v>
      </c>
      <c r="D154" s="25">
        <f>D152+D153</f>
        <v>3978.5</v>
      </c>
      <c r="E154" s="28"/>
      <c r="F154" s="27" t="str">
        <f>IF(E154="","",IF(ABS(E154-D154)&lt;=Setup!$C$6,"PASS","FAIL"))</f>
        <v/>
      </c>
    </row>
    <row r="155" spans="1:6" x14ac:dyDescent="0.25">
      <c r="A155" s="17" t="s">
        <v>735</v>
      </c>
      <c r="B155" s="4" t="s">
        <v>736</v>
      </c>
      <c r="C155" s="6" t="s">
        <v>737</v>
      </c>
      <c r="D155" s="24">
        <f>D50+D55</f>
        <v>3640.1</v>
      </c>
      <c r="E155" s="15"/>
      <c r="F155" s="15" t="s">
        <v>672</v>
      </c>
    </row>
    <row r="156" spans="1:6" x14ac:dyDescent="0.25">
      <c r="A156" s="17" t="s">
        <v>738</v>
      </c>
      <c r="B156" s="10" t="s">
        <v>739</v>
      </c>
      <c r="C156" s="6" t="s">
        <v>740</v>
      </c>
      <c r="D156" s="31">
        <f>D154-D155</f>
        <v>338.4</v>
      </c>
      <c r="E156" s="32"/>
      <c r="F156" s="27" t="str">
        <f>IF(E156="","",IF(ABS(E156-D156)&lt;=Setup!$C$6,"PASS","FAIL"))</f>
        <v/>
      </c>
    </row>
    <row r="157" spans="1:6" x14ac:dyDescent="0.25">
      <c r="A157" s="17" t="s">
        <v>741</v>
      </c>
      <c r="B157" s="4" t="s">
        <v>742</v>
      </c>
      <c r="C157" s="6" t="s">
        <v>743</v>
      </c>
      <c r="D157" s="24">
        <f>D154</f>
        <v>3978.5</v>
      </c>
      <c r="E157" s="28"/>
      <c r="F157" s="27" t="str">
        <f>IF(E157="","",IF(ABS(E157-D157)&lt;=Setup!$C$6,"PASS","FAIL"))</f>
        <v/>
      </c>
    </row>
    <row r="158" spans="1:6" x14ac:dyDescent="0.25">
      <c r="A158" s="17" t="s">
        <v>744</v>
      </c>
      <c r="B158" s="4" t="s">
        <v>745</v>
      </c>
      <c r="C158" s="6" t="s">
        <v>746</v>
      </c>
      <c r="D158" s="29">
        <f>D156</f>
        <v>338.4</v>
      </c>
      <c r="E158" s="32"/>
      <c r="F158" s="27" t="str">
        <f>IF(E158="","",IF(ABS(E158-D158)&lt;=Setup!$C$6,"PASS","FAIL"))</f>
        <v/>
      </c>
    </row>
    <row r="159" spans="1:6" x14ac:dyDescent="0.25">
      <c r="A159" s="17" t="s">
        <v>747</v>
      </c>
      <c r="B159" s="4" t="s">
        <v>748</v>
      </c>
      <c r="C159" s="6" t="s">
        <v>749</v>
      </c>
      <c r="D159" s="18">
        <f>COUNTIF(H124:H135,"Y")</f>
        <v>2</v>
      </c>
      <c r="E159" s="26"/>
      <c r="F159" s="27" t="str">
        <f>IF(E159="","",IF(ABS(E159-D159)&lt;=Setup!$C$6,"PASS","FAIL"))</f>
        <v/>
      </c>
    </row>
    <row r="160" spans="1:6" x14ac:dyDescent="0.25">
      <c r="A160" s="17" t="s">
        <v>750</v>
      </c>
      <c r="B160" s="4" t="s">
        <v>751</v>
      </c>
      <c r="C160" s="6" t="s">
        <v>752</v>
      </c>
      <c r="D160" s="18">
        <f>COUNTIF(I124:I135,"Y")</f>
        <v>2</v>
      </c>
      <c r="E160" s="26"/>
      <c r="F160" s="27" t="str">
        <f>IF(E160="","",IF(ABS(E160-D160)&lt;=Setup!$C$6,"PASS","FAIL"))</f>
        <v/>
      </c>
    </row>
  </sheetData>
  <mergeCells count="2">
    <mergeCell ref="A2:M2"/>
    <mergeCell ref="A3:M3"/>
  </mergeCells>
  <conditionalFormatting sqref="A1:M160">
    <cfRule type="cellIs" dxfId="24" priority="1" operator="equal">
      <formula>"PASS"</formula>
    </cfRule>
    <cfRule type="cellIs" dxfId="25" priority="2" operator="equal">
      <formula>"OK"</formula>
    </cfRule>
    <cfRule type="cellIs" dxfId="26" priority="3" operator="equal">
      <formula>"Covered"</formula>
    </cfRule>
    <cfRule type="cellIs" dxfId="27" priority="4" operator="equal">
      <formula>"FAIL"</formula>
    </cfRule>
    <cfRule type="cellIs" dxfId="28" priority="5" operator="equal">
      <formula>"CHECK"</formula>
    </cfRule>
    <cfRule type="cellIs" dxfId="29" priority="6" operator="equal">
      <formula>"GAP"</formula>
    </cfRule>
  </conditionalFormatting>
  <dataValidations count="2">
    <dataValidation type="list" allowBlank="1" sqref="K124:K135">
      <formula1>"Y,N"</formula1>
    </dataValidation>
    <dataValidation type="list" allowBlank="1" sqref="M124:M135">
      <formula1>"Y,N"</formula1>
    </dataValidation>
  </dataValidations>
  <pageSetup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8F82"/>
    <pageSetUpPr fitToPage="1"/>
  </sheetPr>
  <dimension ref="A1:M116"/>
  <sheetViews>
    <sheetView workbookViewId="0" showGridLines="0"/>
  </sheetViews>
  <sheetFormatPr defaultRowHeight="15" outlineLevelRow="0" outlineLevelCol="0" x14ac:dyDescent="55"/>
  <cols>
    <col min="1" max="1" width="8" customWidth="1"/>
    <col min="2" max="2" width="40" customWidth="1"/>
    <col min="3" max="3" width="52" customWidth="1"/>
    <col min="4" max="9" width="15" customWidth="1"/>
    <col min="10" max="13" width="14" customWidth="1"/>
  </cols>
  <sheetData>
    <row r="1" ht="26" customHeight="1" spans="1:1" x14ac:dyDescent="0.25">
      <c r="A1" s="1" t="s">
        <v>777</v>
      </c>
    </row>
    <row r="2" ht="42" customHeight="1" spans="1:13" x14ac:dyDescent="0.25">
      <c r="A2" s="2" t="s">
        <v>132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5">
      <c r="A3" s="2" t="s">
        <v>778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5" spans="1:13" x14ac:dyDescent="0.25">
      <c r="A5" s="3" t="s">
        <v>516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9" x14ac:dyDescent="0.25">
      <c r="A6" s="16" t="s">
        <v>517</v>
      </c>
      <c r="B6" s="16" t="s">
        <v>518</v>
      </c>
      <c r="C6" s="16" t="s">
        <v>519</v>
      </c>
      <c r="D6" s="16" t="s">
        <v>282</v>
      </c>
      <c r="E6" s="16"/>
      <c r="F6" s="16"/>
      <c r="G6" s="16" t="s">
        <v>297</v>
      </c>
      <c r="H6" s="16"/>
      <c r="I6" s="16"/>
    </row>
    <row r="7" spans="1:9" x14ac:dyDescent="0.25">
      <c r="A7" s="17"/>
      <c r="B7" s="4" t="s">
        <v>520</v>
      </c>
      <c r="C7" s="6" t="s">
        <v>521</v>
      </c>
      <c r="D7" s="8" t="s">
        <v>779</v>
      </c>
      <c r="E7" s="4"/>
      <c r="F7" s="4"/>
      <c r="G7" s="8" t="s">
        <v>780</v>
      </c>
      <c r="H7" s="4"/>
      <c r="I7" s="4"/>
    </row>
    <row r="8" spans="1:9" x14ac:dyDescent="0.25">
      <c r="A8" s="17"/>
      <c r="B8" s="4" t="s">
        <v>523</v>
      </c>
      <c r="C8" s="6"/>
      <c r="D8" s="8" t="s">
        <v>781</v>
      </c>
      <c r="E8" s="4"/>
      <c r="F8" s="4"/>
      <c r="G8" s="8" t="s">
        <v>782</v>
      </c>
      <c r="H8" s="4"/>
      <c r="I8" s="4"/>
    </row>
    <row r="9" spans="1:9" x14ac:dyDescent="0.25">
      <c r="A9" s="17"/>
      <c r="B9" s="4" t="s">
        <v>525</v>
      </c>
      <c r="C9" s="6" t="s">
        <v>526</v>
      </c>
      <c r="D9" s="8" t="s">
        <v>783</v>
      </c>
      <c r="E9" s="4"/>
      <c r="F9" s="4"/>
      <c r="G9" s="8" t="s">
        <v>783</v>
      </c>
      <c r="H9" s="4"/>
      <c r="I9" s="4"/>
    </row>
    <row r="10" spans="1:9" x14ac:dyDescent="0.25">
      <c r="A10" s="17"/>
      <c r="B10" s="4" t="s">
        <v>528</v>
      </c>
      <c r="C10" s="6" t="s">
        <v>529</v>
      </c>
      <c r="D10" s="8" t="s">
        <v>530</v>
      </c>
      <c r="E10" s="4"/>
      <c r="F10" s="4"/>
      <c r="G10" s="8" t="s">
        <v>530</v>
      </c>
      <c r="H10" s="4"/>
      <c r="I10" s="4"/>
    </row>
    <row r="11" spans="1:9" x14ac:dyDescent="0.25">
      <c r="A11" s="17"/>
      <c r="B11" s="4" t="s">
        <v>531</v>
      </c>
      <c r="C11" s="6"/>
      <c r="D11" s="20">
        <v>46349</v>
      </c>
      <c r="E11" s="4"/>
      <c r="F11" s="4"/>
      <c r="G11" s="20">
        <v>46349</v>
      </c>
      <c r="H11" s="4"/>
      <c r="I11" s="4"/>
    </row>
    <row r="12" spans="1:9" x14ac:dyDescent="0.25">
      <c r="A12" s="17"/>
      <c r="B12" s="4" t="s">
        <v>532</v>
      </c>
      <c r="C12" s="6"/>
      <c r="D12" s="20">
        <v>46352</v>
      </c>
      <c r="E12" s="4"/>
      <c r="F12" s="4"/>
      <c r="G12" s="20">
        <v>46352</v>
      </c>
      <c r="H12" s="4"/>
      <c r="I12" s="4"/>
    </row>
    <row r="13" spans="1:9" x14ac:dyDescent="0.25">
      <c r="A13" s="17"/>
      <c r="B13" s="4" t="s">
        <v>533</v>
      </c>
      <c r="C13" s="6" t="s">
        <v>534</v>
      </c>
      <c r="D13" s="21">
        <v>1</v>
      </c>
      <c r="E13" s="4"/>
      <c r="F13" s="4"/>
      <c r="G13" s="21">
        <v>1</v>
      </c>
      <c r="H13" s="4"/>
      <c r="I13" s="4"/>
    </row>
    <row r="14" spans="1:9" x14ac:dyDescent="0.25">
      <c r="A14" s="17"/>
      <c r="B14" s="4" t="s">
        <v>535</v>
      </c>
      <c r="C14" s="6" t="s">
        <v>536</v>
      </c>
      <c r="D14" s="7">
        <v>140</v>
      </c>
      <c r="E14" s="4"/>
      <c r="F14" s="4"/>
      <c r="G14" s="7">
        <v>140</v>
      </c>
      <c r="H14" s="4"/>
      <c r="I14" s="4"/>
    </row>
    <row r="15" spans="1:9" x14ac:dyDescent="0.25">
      <c r="A15" s="17"/>
      <c r="B15" s="4" t="s">
        <v>537</v>
      </c>
      <c r="C15" s="6" t="s">
        <v>536</v>
      </c>
      <c r="D15" s="7">
        <v>69</v>
      </c>
      <c r="E15" s="4"/>
      <c r="F15" s="4"/>
      <c r="G15" s="7">
        <v>69</v>
      </c>
      <c r="H15" s="4"/>
      <c r="I15" s="4"/>
    </row>
    <row r="16" spans="1:9" x14ac:dyDescent="0.25">
      <c r="A16" s="17"/>
      <c r="B16" s="4" t="s">
        <v>538</v>
      </c>
      <c r="C16" s="6" t="s">
        <v>539</v>
      </c>
      <c r="D16" s="7">
        <v>405</v>
      </c>
      <c r="E16" s="4"/>
      <c r="F16" s="4"/>
      <c r="G16" s="7">
        <v>468</v>
      </c>
      <c r="H16" s="4"/>
      <c r="I16" s="4"/>
    </row>
    <row r="17" spans="1:9" x14ac:dyDescent="0.25">
      <c r="A17" s="17"/>
      <c r="B17" s="4" t="s">
        <v>540</v>
      </c>
      <c r="C17" s="6" t="s">
        <v>539</v>
      </c>
      <c r="D17" s="7">
        <v>511.5</v>
      </c>
      <c r="E17" s="4"/>
      <c r="F17" s="4"/>
      <c r="G17" s="7">
        <v>584.55</v>
      </c>
      <c r="H17" s="4"/>
      <c r="I17" s="4"/>
    </row>
    <row r="18" spans="1:9" x14ac:dyDescent="0.25">
      <c r="A18" s="17"/>
      <c r="B18" s="4" t="s">
        <v>541</v>
      </c>
      <c r="C18" s="6" t="s">
        <v>542</v>
      </c>
      <c r="D18" s="7">
        <v>45</v>
      </c>
      <c r="E18" s="4"/>
      <c r="F18" s="4"/>
      <c r="G18" s="7">
        <v>45</v>
      </c>
      <c r="H18" s="4"/>
      <c r="I18" s="4"/>
    </row>
    <row r="19" spans="1:9" x14ac:dyDescent="0.25">
      <c r="A19" s="17"/>
      <c r="B19" s="4" t="s">
        <v>543</v>
      </c>
      <c r="C19" s="6" t="s">
        <v>542</v>
      </c>
      <c r="D19" s="7">
        <v>61.5</v>
      </c>
      <c r="E19" s="4"/>
      <c r="F19" s="4"/>
      <c r="G19" s="7">
        <v>71.55</v>
      </c>
      <c r="H19" s="4"/>
      <c r="I19" s="4"/>
    </row>
    <row r="20" spans="1:9" x14ac:dyDescent="0.25">
      <c r="A20" s="17"/>
      <c r="B20" s="4" t="s">
        <v>544</v>
      </c>
      <c r="C20" s="6" t="s">
        <v>545</v>
      </c>
      <c r="D20" s="7">
        <v>298</v>
      </c>
      <c r="E20" s="4"/>
      <c r="F20" s="4"/>
      <c r="G20" s="7">
        <v>298</v>
      </c>
      <c r="H20" s="4"/>
      <c r="I20" s="4"/>
    </row>
    <row r="21" spans="1:9" x14ac:dyDescent="0.25">
      <c r="A21" s="17"/>
      <c r="B21" s="4" t="s">
        <v>546</v>
      </c>
      <c r="C21" s="6" t="s">
        <v>545</v>
      </c>
      <c r="D21" s="7">
        <v>35</v>
      </c>
      <c r="E21" s="4"/>
      <c r="F21" s="4"/>
      <c r="G21" s="7">
        <v>35</v>
      </c>
      <c r="H21" s="4"/>
      <c r="I21" s="4"/>
    </row>
    <row r="22" spans="1:9" x14ac:dyDescent="0.25">
      <c r="A22" s="17"/>
      <c r="B22" s="4" t="s">
        <v>547</v>
      </c>
      <c r="C22" s="6" t="s">
        <v>545</v>
      </c>
      <c r="D22" s="7">
        <v>54</v>
      </c>
      <c r="E22" s="4"/>
      <c r="F22" s="4"/>
      <c r="G22" s="7">
        <v>54</v>
      </c>
      <c r="H22" s="4"/>
      <c r="I22" s="4"/>
    </row>
    <row r="23" spans="1:9" x14ac:dyDescent="0.25">
      <c r="A23" s="17"/>
      <c r="B23" s="4" t="s">
        <v>548</v>
      </c>
      <c r="C23" s="6" t="s">
        <v>549</v>
      </c>
      <c r="D23" s="7">
        <v>0</v>
      </c>
      <c r="E23" s="4"/>
      <c r="F23" s="4"/>
      <c r="G23" s="7">
        <v>0</v>
      </c>
      <c r="H23" s="4"/>
      <c r="I23" s="4"/>
    </row>
    <row r="24" spans="1:9" x14ac:dyDescent="0.25">
      <c r="A24" s="17"/>
      <c r="B24" s="4" t="s">
        <v>550</v>
      </c>
      <c r="C24" s="6" t="s">
        <v>549</v>
      </c>
      <c r="D24" s="7">
        <v>0</v>
      </c>
      <c r="E24" s="4"/>
      <c r="F24" s="4"/>
      <c r="G24" s="7">
        <v>0</v>
      </c>
      <c r="H24" s="4"/>
      <c r="I24" s="4"/>
    </row>
    <row r="25" spans="1:9" x14ac:dyDescent="0.25">
      <c r="A25" s="17"/>
      <c r="B25" s="4" t="s">
        <v>551</v>
      </c>
      <c r="C25" s="6" t="s">
        <v>549</v>
      </c>
      <c r="D25" s="7">
        <v>0</v>
      </c>
      <c r="E25" s="4"/>
      <c r="F25" s="4"/>
      <c r="G25" s="7">
        <v>0</v>
      </c>
      <c r="H25" s="4"/>
      <c r="I25" s="4"/>
    </row>
    <row r="26" spans="1:9" x14ac:dyDescent="0.25">
      <c r="A26" s="17"/>
      <c r="B26" s="4" t="s">
        <v>552</v>
      </c>
      <c r="C26" s="6" t="s">
        <v>549</v>
      </c>
      <c r="D26" s="7">
        <v>0</v>
      </c>
      <c r="E26" s="4"/>
      <c r="F26" s="4"/>
      <c r="G26" s="7">
        <v>0</v>
      </c>
      <c r="H26" s="4"/>
      <c r="I26" s="4"/>
    </row>
    <row r="27" spans="1:9" x14ac:dyDescent="0.25">
      <c r="A27" s="17"/>
      <c r="B27" s="4" t="s">
        <v>553</v>
      </c>
      <c r="C27" s="6" t="s">
        <v>549</v>
      </c>
      <c r="D27" s="7">
        <v>0</v>
      </c>
      <c r="E27" s="4"/>
      <c r="F27" s="4"/>
      <c r="G27" s="7">
        <v>0</v>
      </c>
      <c r="H27" s="4"/>
      <c r="I27" s="4"/>
    </row>
    <row r="28" spans="1:9" x14ac:dyDescent="0.25">
      <c r="A28" s="17"/>
      <c r="B28" s="4" t="s">
        <v>554</v>
      </c>
      <c r="C28" s="6" t="s">
        <v>549</v>
      </c>
      <c r="D28" s="7">
        <v>0</v>
      </c>
      <c r="E28" s="4"/>
      <c r="F28" s="4"/>
      <c r="G28" s="7">
        <v>0</v>
      </c>
      <c r="H28" s="4"/>
      <c r="I28" s="4"/>
    </row>
    <row r="29" spans="1:9" x14ac:dyDescent="0.25">
      <c r="A29" s="17"/>
      <c r="B29" s="4" t="s">
        <v>555</v>
      </c>
      <c r="C29" s="6" t="s">
        <v>549</v>
      </c>
      <c r="D29" s="7">
        <v>62</v>
      </c>
      <c r="E29" s="4"/>
      <c r="F29" s="4"/>
      <c r="G29" s="7">
        <v>62</v>
      </c>
      <c r="H29" s="4"/>
      <c r="I29" s="4"/>
    </row>
    <row r="30" spans="1:9" x14ac:dyDescent="0.25">
      <c r="A30" s="17"/>
      <c r="B30" s="4" t="s">
        <v>556</v>
      </c>
      <c r="C30" s="6" t="s">
        <v>549</v>
      </c>
      <c r="D30" s="7">
        <v>0</v>
      </c>
      <c r="E30" s="4"/>
      <c r="F30" s="4"/>
      <c r="G30" s="7">
        <v>0</v>
      </c>
      <c r="H30" s="4"/>
      <c r="I30" s="4"/>
    </row>
    <row r="31" spans="1:9" x14ac:dyDescent="0.25">
      <c r="A31" s="4"/>
      <c r="B31" s="22" t="s">
        <v>557</v>
      </c>
      <c r="C31" s="22"/>
      <c r="D31" s="22"/>
      <c r="E31" s="22"/>
      <c r="F31" s="22"/>
      <c r="G31" s="22"/>
      <c r="H31" s="22"/>
      <c r="I31" s="22"/>
    </row>
    <row r="32" spans="1:9" x14ac:dyDescent="0.25">
      <c r="A32" s="17"/>
      <c r="B32" s="4" t="s">
        <v>558</v>
      </c>
      <c r="C32" s="6" t="s">
        <v>559</v>
      </c>
      <c r="D32" s="7">
        <v>0</v>
      </c>
      <c r="E32" s="4"/>
      <c r="F32" s="4"/>
      <c r="G32" s="7">
        <v>52</v>
      </c>
      <c r="H32" s="4"/>
      <c r="I32" s="4"/>
    </row>
    <row r="33" spans="1:9" x14ac:dyDescent="0.25">
      <c r="A33" s="17"/>
      <c r="B33" s="4" t="s">
        <v>560</v>
      </c>
      <c r="C33" s="6"/>
      <c r="D33" s="23">
        <v>0</v>
      </c>
      <c r="E33" s="4"/>
      <c r="F33" s="4"/>
      <c r="G33" s="23">
        <v>5</v>
      </c>
      <c r="H33" s="4"/>
      <c r="I33" s="4"/>
    </row>
    <row r="34" spans="1:9" x14ac:dyDescent="0.25">
      <c r="A34" s="17"/>
      <c r="B34" s="4" t="s">
        <v>561</v>
      </c>
      <c r="C34" s="6"/>
      <c r="D34" s="7">
        <v>0</v>
      </c>
      <c r="E34" s="4"/>
      <c r="F34" s="4"/>
      <c r="G34" s="7">
        <v>0</v>
      </c>
      <c r="H34" s="4"/>
      <c r="I34" s="4"/>
    </row>
    <row r="35" spans="1:9" x14ac:dyDescent="0.25">
      <c r="A35" s="17"/>
      <c r="B35" s="4" t="s">
        <v>562</v>
      </c>
      <c r="C35" s="6"/>
      <c r="D35" s="23">
        <v>0</v>
      </c>
      <c r="E35" s="4"/>
      <c r="F35" s="4"/>
      <c r="G35" s="23">
        <v>0</v>
      </c>
      <c r="H35" s="4"/>
      <c r="I35" s="4"/>
    </row>
    <row r="36" spans="1:9" x14ac:dyDescent="0.25">
      <c r="A36" s="17"/>
      <c r="B36" s="4" t="s">
        <v>563</v>
      </c>
      <c r="C36" s="6"/>
      <c r="D36" s="7">
        <v>0</v>
      </c>
      <c r="E36" s="4"/>
      <c r="F36" s="4"/>
      <c r="G36" s="7">
        <v>0</v>
      </c>
      <c r="H36" s="4"/>
      <c r="I36" s="4"/>
    </row>
    <row r="37" spans="1:9" x14ac:dyDescent="0.25">
      <c r="A37" s="17"/>
      <c r="B37" s="4" t="s">
        <v>564</v>
      </c>
      <c r="C37" s="6"/>
      <c r="D37" s="23">
        <v>0</v>
      </c>
      <c r="E37" s="4"/>
      <c r="F37" s="4"/>
      <c r="G37" s="23">
        <v>0</v>
      </c>
      <c r="H37" s="4"/>
      <c r="I37" s="4"/>
    </row>
    <row r="38" spans="1:9" x14ac:dyDescent="0.25">
      <c r="A38" s="17"/>
      <c r="B38" s="4" t="s">
        <v>565</v>
      </c>
      <c r="C38" s="6"/>
      <c r="D38" s="7">
        <v>0</v>
      </c>
      <c r="E38" s="4"/>
      <c r="F38" s="4"/>
      <c r="G38" s="7">
        <v>0</v>
      </c>
      <c r="H38" s="4"/>
      <c r="I38" s="4"/>
    </row>
    <row r="39" spans="1:9" x14ac:dyDescent="0.25">
      <c r="A39" s="17"/>
      <c r="B39" s="4" t="s">
        <v>566</v>
      </c>
      <c r="C39" s="6"/>
      <c r="D39" s="23">
        <v>0</v>
      </c>
      <c r="E39" s="4"/>
      <c r="F39" s="4"/>
      <c r="G39" s="23">
        <v>0</v>
      </c>
      <c r="H39" s="4"/>
      <c r="I39" s="4"/>
    </row>
    <row r="40" spans="1:9" x14ac:dyDescent="0.25">
      <c r="A40" s="17"/>
      <c r="B40" s="4" t="s">
        <v>567</v>
      </c>
      <c r="C40" s="6" t="s">
        <v>568</v>
      </c>
      <c r="D40" s="21">
        <v>0</v>
      </c>
      <c r="E40" s="4"/>
      <c r="F40" s="4"/>
      <c r="G40" s="21">
        <v>0</v>
      </c>
      <c r="H40" s="4"/>
      <c r="I40" s="4"/>
    </row>
    <row r="41" spans="1:9" x14ac:dyDescent="0.25">
      <c r="A41" s="17"/>
      <c r="B41" s="4" t="s">
        <v>784</v>
      </c>
      <c r="C41" s="6" t="s">
        <v>785</v>
      </c>
      <c r="D41" s="8"/>
      <c r="E41" s="4"/>
      <c r="F41" s="4"/>
      <c r="G41" s="7">
        <v>138</v>
      </c>
      <c r="H41" s="4"/>
      <c r="I41" s="4"/>
    </row>
    <row r="42" spans="1:9" x14ac:dyDescent="0.25">
      <c r="A42" s="17"/>
      <c r="B42" s="4" t="s">
        <v>786</v>
      </c>
      <c r="C42" s="6"/>
      <c r="D42" s="8"/>
      <c r="E42" s="4"/>
      <c r="F42" s="4"/>
      <c r="G42" s="7">
        <v>149</v>
      </c>
      <c r="H42" s="4"/>
      <c r="I42" s="4"/>
    </row>
    <row r="43" spans="1:9" x14ac:dyDescent="0.25">
      <c r="A43" s="17"/>
      <c r="B43" s="4" t="s">
        <v>787</v>
      </c>
      <c r="C43" s="6"/>
      <c r="D43" s="8"/>
      <c r="E43" s="4"/>
      <c r="F43" s="4"/>
      <c r="G43" s="7">
        <v>152</v>
      </c>
      <c r="H43" s="4"/>
      <c r="I43" s="4"/>
    </row>
    <row r="45" spans="1:13" x14ac:dyDescent="0.25">
      <c r="A45" s="3" t="s">
        <v>569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9" x14ac:dyDescent="0.25">
      <c r="A46" s="16" t="s">
        <v>517</v>
      </c>
      <c r="B46" s="16" t="s">
        <v>518</v>
      </c>
      <c r="C46" s="16" t="s">
        <v>519</v>
      </c>
      <c r="D46" s="16" t="s">
        <v>282</v>
      </c>
      <c r="E46" s="16"/>
      <c r="F46" s="16"/>
      <c r="G46" s="16" t="s">
        <v>297</v>
      </c>
      <c r="H46" s="16"/>
      <c r="I46" s="16"/>
    </row>
    <row r="47" spans="1:9" x14ac:dyDescent="0.25">
      <c r="A47" s="17"/>
      <c r="B47" s="4" t="s">
        <v>61</v>
      </c>
      <c r="C47" s="6" t="s">
        <v>570</v>
      </c>
      <c r="D47" s="18">
        <f>MAX(0,D12-D11)</f>
        <v>3</v>
      </c>
      <c r="E47" s="4"/>
      <c r="F47" s="4"/>
      <c r="G47" s="18">
        <f>MAX(0,G12-G11)</f>
        <v>3</v>
      </c>
      <c r="H47" s="4"/>
      <c r="I47" s="4"/>
    </row>
    <row r="48" spans="1:9" x14ac:dyDescent="0.25">
      <c r="A48" s="17"/>
      <c r="B48" s="4" t="s">
        <v>571</v>
      </c>
      <c r="C48" s="6" t="s">
        <v>572</v>
      </c>
      <c r="D48" s="18">
        <f>MAX(D47-1,0)</f>
        <v>2</v>
      </c>
      <c r="E48" s="4"/>
      <c r="F48" s="4"/>
      <c r="G48" s="18">
        <f>MAX(G47-1,0)</f>
        <v>2</v>
      </c>
      <c r="H48" s="4"/>
      <c r="I48" s="4"/>
    </row>
    <row r="49" spans="1:9" x14ac:dyDescent="0.25">
      <c r="A49" s="17"/>
      <c r="B49" s="4" t="s">
        <v>573</v>
      </c>
      <c r="C49" s="6" t="s">
        <v>574</v>
      </c>
      <c r="D49" s="24">
        <f>1.5*D15+D48*D15</f>
        <v>241.5</v>
      </c>
      <c r="E49" s="4"/>
      <c r="F49" s="4"/>
      <c r="G49" s="24">
        <f>1.5*G15+G48*G15</f>
        <v>241.5</v>
      </c>
      <c r="H49" s="4"/>
      <c r="I49" s="4"/>
    </row>
    <row r="50" spans="1:9" x14ac:dyDescent="0.25">
      <c r="A50" s="17"/>
      <c r="B50" s="4" t="s">
        <v>575</v>
      </c>
      <c r="C50" s="6" t="s">
        <v>576</v>
      </c>
      <c r="D50" s="24">
        <f>D17+D20+D22+D21</f>
        <v>898.5</v>
      </c>
      <c r="E50" s="4"/>
      <c r="F50" s="4"/>
      <c r="G50" s="24">
        <f>G17+G20+G22+G21</f>
        <v>971.55</v>
      </c>
      <c r="H50" s="4"/>
      <c r="I50" s="4"/>
    </row>
    <row r="51" spans="1:9" x14ac:dyDescent="0.25">
      <c r="A51" s="17"/>
      <c r="B51" s="10" t="s">
        <v>66</v>
      </c>
      <c r="C51" s="6" t="s">
        <v>577</v>
      </c>
      <c r="D51" s="25">
        <f>D49+D50</f>
        <v>1140</v>
      </c>
      <c r="E51" s="4"/>
      <c r="F51" s="4"/>
      <c r="G51" s="25">
        <f>G49+G50</f>
        <v>1213.05</v>
      </c>
      <c r="H51" s="4"/>
      <c r="I51" s="4"/>
    </row>
    <row r="52" spans="1:9" x14ac:dyDescent="0.25">
      <c r="A52" s="17"/>
      <c r="B52" s="4" t="s">
        <v>578</v>
      </c>
      <c r="C52" s="6" t="s">
        <v>579</v>
      </c>
      <c r="D52" s="24">
        <f>D25+D26+D27+D28+D29+D30+D23+D24</f>
        <v>62</v>
      </c>
      <c r="E52" s="4"/>
      <c r="F52" s="4"/>
      <c r="G52" s="24">
        <f>G25+G26+G27+G28+G29+G30+G23+G24</f>
        <v>62</v>
      </c>
      <c r="H52" s="4"/>
      <c r="I52" s="4"/>
    </row>
    <row r="53" spans="1:9" x14ac:dyDescent="0.25">
      <c r="A53" s="17"/>
      <c r="B53" s="10" t="s">
        <v>68</v>
      </c>
      <c r="C53" s="6" t="s">
        <v>69</v>
      </c>
      <c r="D53" s="25">
        <f>D51*D13+D52</f>
        <v>1202</v>
      </c>
      <c r="E53" s="4"/>
      <c r="F53" s="4"/>
      <c r="G53" s="25">
        <f>G51*G13+G52</f>
        <v>1275.05</v>
      </c>
      <c r="H53" s="4"/>
      <c r="I53" s="4"/>
    </row>
    <row r="54" spans="1:9" x14ac:dyDescent="0.25">
      <c r="A54" s="17"/>
      <c r="B54" s="4" t="s">
        <v>580</v>
      </c>
      <c r="C54" s="6" t="s">
        <v>581</v>
      </c>
      <c r="D54" s="24">
        <f>IF(1&lt;=D13,D32*D33,0)</f>
        <v>0</v>
      </c>
      <c r="E54" s="4"/>
      <c r="F54" s="4"/>
      <c r="G54" s="24">
        <f>IF(1&lt;=G13,G32*G33,0)</f>
        <v>260</v>
      </c>
      <c r="H54" s="4"/>
      <c r="I54" s="4"/>
    </row>
    <row r="55" spans="1:9" x14ac:dyDescent="0.25">
      <c r="A55" s="17"/>
      <c r="B55" s="4" t="s">
        <v>582</v>
      </c>
      <c r="C55" s="6" t="s">
        <v>581</v>
      </c>
      <c r="D55" s="24">
        <f>IF(2&lt;=D13,D34*D35,0)</f>
        <v>0</v>
      </c>
      <c r="E55" s="4"/>
      <c r="F55" s="4"/>
      <c r="G55" s="24">
        <f>IF(2&lt;=G13,G34*G35,0)</f>
        <v>0</v>
      </c>
      <c r="H55" s="4"/>
      <c r="I55" s="4"/>
    </row>
    <row r="56" spans="1:9" x14ac:dyDescent="0.25">
      <c r="A56" s="17"/>
      <c r="B56" s="4" t="s">
        <v>583</v>
      </c>
      <c r="C56" s="6" t="s">
        <v>581</v>
      </c>
      <c r="D56" s="24">
        <f>IF(3&lt;=D13,D36*D37,0)</f>
        <v>0</v>
      </c>
      <c r="E56" s="4"/>
      <c r="F56" s="4"/>
      <c r="G56" s="24">
        <f>IF(3&lt;=G13,G36*G37,0)</f>
        <v>0</v>
      </c>
      <c r="H56" s="4"/>
      <c r="I56" s="4"/>
    </row>
    <row r="57" spans="1:9" x14ac:dyDescent="0.25">
      <c r="A57" s="17"/>
      <c r="B57" s="4" t="s">
        <v>584</v>
      </c>
      <c r="C57" s="6" t="s">
        <v>581</v>
      </c>
      <c r="D57" s="24">
        <f>IF(4&lt;=D13,D38*D39,0)</f>
        <v>0</v>
      </c>
      <c r="E57" s="4"/>
      <c r="F57" s="4"/>
      <c r="G57" s="24">
        <f>IF(4&lt;=G13,G38*G39,0)</f>
        <v>0</v>
      </c>
      <c r="H57" s="4"/>
      <c r="I57" s="4"/>
    </row>
    <row r="58" spans="1:9" x14ac:dyDescent="0.25">
      <c r="A58" s="17"/>
      <c r="B58" s="10" t="s">
        <v>71</v>
      </c>
      <c r="C58" s="6" t="s">
        <v>585</v>
      </c>
      <c r="D58" s="25">
        <f>SUM(D54:D57)</f>
        <v>0</v>
      </c>
      <c r="E58" s="4"/>
      <c r="F58" s="4"/>
      <c r="G58" s="25">
        <f>SUM(G54:G57)</f>
        <v>260</v>
      </c>
      <c r="H58" s="4"/>
      <c r="I58" s="4"/>
    </row>
    <row r="59" spans="1:9" x14ac:dyDescent="0.25">
      <c r="A59" s="17"/>
      <c r="B59" s="10" t="s">
        <v>586</v>
      </c>
      <c r="C59" s="6" t="s">
        <v>587</v>
      </c>
      <c r="D59" s="25">
        <f>D53+D58</f>
        <v>1202</v>
      </c>
      <c r="E59" s="4"/>
      <c r="F59" s="4"/>
      <c r="G59" s="25">
        <f>G53+G58</f>
        <v>1535.05</v>
      </c>
      <c r="H59" s="4"/>
      <c r="I59" s="4"/>
    </row>
    <row r="60" spans="1:9" x14ac:dyDescent="0.25">
      <c r="A60" s="4"/>
      <c r="B60" s="22" t="s">
        <v>588</v>
      </c>
      <c r="C60" s="22" t="s">
        <v>589</v>
      </c>
      <c r="D60" s="22"/>
      <c r="E60" s="22"/>
      <c r="F60" s="22"/>
      <c r="G60" s="22"/>
      <c r="H60" s="22"/>
      <c r="I60" s="22"/>
    </row>
    <row r="61" spans="1:9" x14ac:dyDescent="0.25">
      <c r="A61" s="17"/>
      <c r="B61" s="4" t="s">
        <v>590</v>
      </c>
      <c r="C61" s="6" t="s">
        <v>591</v>
      </c>
      <c r="D61" s="24">
        <f>ROUND(D17*Setup!$C$5,2)</f>
        <v>576.67</v>
      </c>
      <c r="E61" s="4"/>
      <c r="F61" s="4"/>
      <c r="G61" s="24">
        <f>ROUND(G17*Setup!$C$5,2)</f>
        <v>659.02</v>
      </c>
      <c r="H61" s="4"/>
      <c r="I61" s="4"/>
    </row>
    <row r="62" spans="1:9" x14ac:dyDescent="0.25">
      <c r="A62" s="17"/>
      <c r="B62" s="4" t="s">
        <v>544</v>
      </c>
      <c r="C62" s="6" t="s">
        <v>592</v>
      </c>
      <c r="D62" s="24">
        <f>ROUND(D20*Setup!$C$5,2)</f>
        <v>335.97</v>
      </c>
      <c r="E62" s="4"/>
      <c r="F62" s="4"/>
      <c r="G62" s="24">
        <f>ROUND(G20*Setup!$C$5,2)</f>
        <v>335.97</v>
      </c>
      <c r="H62" s="4"/>
      <c r="I62" s="4"/>
    </row>
    <row r="63" spans="1:9" x14ac:dyDescent="0.25">
      <c r="A63" s="17"/>
      <c r="B63" s="4" t="s">
        <v>546</v>
      </c>
      <c r="C63" s="6" t="s">
        <v>593</v>
      </c>
      <c r="D63" s="24">
        <f>ROUND(D21*Setup!$C$5,2)</f>
        <v>39.46</v>
      </c>
      <c r="E63" s="4"/>
      <c r="F63" s="4"/>
      <c r="G63" s="24">
        <f>ROUND(G21*Setup!$C$5,2)</f>
        <v>39.46</v>
      </c>
      <c r="H63" s="4"/>
      <c r="I63" s="4"/>
    </row>
    <row r="64" spans="1:9" x14ac:dyDescent="0.25">
      <c r="A64" s="17"/>
      <c r="B64" s="4" t="s">
        <v>547</v>
      </c>
      <c r="C64" s="6" t="s">
        <v>594</v>
      </c>
      <c r="D64" s="24">
        <f>ROUND(D22*Setup!$C$5,2)</f>
        <v>60.88</v>
      </c>
      <c r="E64" s="4"/>
      <c r="F64" s="4"/>
      <c r="G64" s="24">
        <f>ROUND(G22*Setup!$C$5,2)</f>
        <v>60.88</v>
      </c>
      <c r="H64" s="4"/>
      <c r="I64" s="4"/>
    </row>
    <row r="65" spans="1:9" x14ac:dyDescent="0.25">
      <c r="A65" s="17"/>
      <c r="B65" s="4" t="s">
        <v>551</v>
      </c>
      <c r="C65" s="6" t="s">
        <v>595</v>
      </c>
      <c r="D65" s="24">
        <f>ROUND(D25*Setup!$C$5,2)</f>
        <v>0</v>
      </c>
      <c r="E65" s="4"/>
      <c r="F65" s="4"/>
      <c r="G65" s="24">
        <f>ROUND(G25*Setup!$C$5,2)</f>
        <v>0</v>
      </c>
      <c r="H65" s="4"/>
      <c r="I65" s="4"/>
    </row>
    <row r="66" spans="1:9" x14ac:dyDescent="0.25">
      <c r="A66" s="17"/>
      <c r="B66" s="4" t="s">
        <v>552</v>
      </c>
      <c r="C66" s="6" t="s">
        <v>596</v>
      </c>
      <c r="D66" s="24">
        <f>ROUND(D26*Setup!$C$5,2)</f>
        <v>0</v>
      </c>
      <c r="E66" s="4"/>
      <c r="F66" s="4"/>
      <c r="G66" s="24">
        <f>ROUND(G26*Setup!$C$5,2)</f>
        <v>0</v>
      </c>
      <c r="H66" s="4"/>
      <c r="I66" s="4"/>
    </row>
    <row r="67" spans="1:9" x14ac:dyDescent="0.25">
      <c r="A67" s="17"/>
      <c r="B67" s="4" t="s">
        <v>553</v>
      </c>
      <c r="C67" s="6" t="s">
        <v>597</v>
      </c>
      <c r="D67" s="24">
        <f>ROUND(D27*Setup!$C$5,2)</f>
        <v>0</v>
      </c>
      <c r="E67" s="4"/>
      <c r="F67" s="4"/>
      <c r="G67" s="24">
        <f>ROUND(G27*Setup!$C$5,2)</f>
        <v>0</v>
      </c>
      <c r="H67" s="4"/>
      <c r="I67" s="4"/>
    </row>
    <row r="68" spans="1:9" x14ac:dyDescent="0.25">
      <c r="A68" s="17"/>
      <c r="B68" s="4" t="s">
        <v>554</v>
      </c>
      <c r="C68" s="6" t="s">
        <v>598</v>
      </c>
      <c r="D68" s="24">
        <f>ROUND(D28*Setup!$C$5,2)</f>
        <v>0</v>
      </c>
      <c r="E68" s="4"/>
      <c r="F68" s="4"/>
      <c r="G68" s="24">
        <f>ROUND(G28*Setup!$C$5,2)</f>
        <v>0</v>
      </c>
      <c r="H68" s="4"/>
      <c r="I68" s="4"/>
    </row>
    <row r="69" spans="1:9" x14ac:dyDescent="0.25">
      <c r="A69" s="17"/>
      <c r="B69" s="4" t="s">
        <v>555</v>
      </c>
      <c r="C69" s="6" t="s">
        <v>599</v>
      </c>
      <c r="D69" s="24">
        <f>ROUND(D29*Setup!$C$5,2)</f>
        <v>69.9</v>
      </c>
      <c r="E69" s="4"/>
      <c r="F69" s="4"/>
      <c r="G69" s="24">
        <f>ROUND(G29*Setup!$C$5,2)</f>
        <v>69.9</v>
      </c>
      <c r="H69" s="4"/>
      <c r="I69" s="4"/>
    </row>
    <row r="70" spans="1:9" x14ac:dyDescent="0.25">
      <c r="A70" s="17"/>
      <c r="B70" s="4" t="s">
        <v>556</v>
      </c>
      <c r="C70" s="6" t="s">
        <v>600</v>
      </c>
      <c r="D70" s="24">
        <f>ROUND(D30*Setup!$C$5,2)</f>
        <v>0</v>
      </c>
      <c r="E70" s="4"/>
      <c r="F70" s="4"/>
      <c r="G70" s="24">
        <f>ROUND(G30*Setup!$C$5,2)</f>
        <v>0</v>
      </c>
      <c r="H70" s="4"/>
      <c r="I70" s="4"/>
    </row>
    <row r="71" spans="1:9" x14ac:dyDescent="0.25">
      <c r="A71" s="17"/>
      <c r="B71" s="4" t="s">
        <v>548</v>
      </c>
      <c r="C71" s="6" t="s">
        <v>601</v>
      </c>
      <c r="D71" s="24">
        <f>ROUND(D23*Setup!$C$5,2)</f>
        <v>0</v>
      </c>
      <c r="E71" s="4"/>
      <c r="F71" s="4"/>
      <c r="G71" s="24">
        <f>ROUND(G23*Setup!$C$5,2)</f>
        <v>0</v>
      </c>
      <c r="H71" s="4"/>
      <c r="I71" s="4"/>
    </row>
    <row r="72" spans="1:9" x14ac:dyDescent="0.25">
      <c r="A72" s="17"/>
      <c r="B72" s="4" t="s">
        <v>550</v>
      </c>
      <c r="C72" s="6" t="s">
        <v>602</v>
      </c>
      <c r="D72" s="24">
        <f>ROUND(D24*Setup!$C$5,2)</f>
        <v>0</v>
      </c>
      <c r="E72" s="4"/>
      <c r="F72" s="4"/>
      <c r="G72" s="24">
        <f>ROUND(G24*Setup!$C$5,2)</f>
        <v>0</v>
      </c>
      <c r="H72" s="4"/>
      <c r="I72" s="4"/>
    </row>
    <row r="73" spans="1:9" x14ac:dyDescent="0.25">
      <c r="A73" s="17"/>
      <c r="B73" s="4" t="s">
        <v>603</v>
      </c>
      <c r="C73" s="6" t="s">
        <v>604</v>
      </c>
      <c r="D73" s="24">
        <f>(D61+D62+D64+D63)*D13+D65+D66+D67+D68+D69+D70+D71+D72</f>
        <v>1082.88</v>
      </c>
      <c r="E73" s="4"/>
      <c r="F73" s="4"/>
      <c r="G73" s="24">
        <f>(G61+G62+G64+G63)*G13+G65+G66+G67+G68+G69+G70+G71+G72</f>
        <v>1165.23</v>
      </c>
      <c r="H73" s="4"/>
      <c r="I73" s="4"/>
    </row>
    <row r="74" spans="1:9" x14ac:dyDescent="0.25">
      <c r="A74" s="17"/>
      <c r="B74" s="4" t="s">
        <v>605</v>
      </c>
      <c r="C74" s="6" t="s">
        <v>606</v>
      </c>
      <c r="D74" s="24">
        <f>D49*D13</f>
        <v>241.5</v>
      </c>
      <c r="E74" s="4"/>
      <c r="F74" s="4"/>
      <c r="G74" s="24">
        <f>G49*G13</f>
        <v>241.5</v>
      </c>
      <c r="H74" s="4"/>
      <c r="I74" s="4"/>
    </row>
    <row r="75" spans="1:9" x14ac:dyDescent="0.25">
      <c r="A75" s="17"/>
      <c r="B75" s="10" t="s">
        <v>74</v>
      </c>
      <c r="C75" s="6" t="s">
        <v>607</v>
      </c>
      <c r="D75" s="25">
        <f>D73+D74</f>
        <v>1324.38</v>
      </c>
      <c r="E75" s="4"/>
      <c r="F75" s="4"/>
      <c r="G75" s="25">
        <f>G73+G74</f>
        <v>1406.73</v>
      </c>
      <c r="H75" s="4"/>
      <c r="I75" s="4"/>
    </row>
    <row r="76" spans="1:9" x14ac:dyDescent="0.25">
      <c r="A76" s="17"/>
      <c r="B76" s="10" t="s">
        <v>76</v>
      </c>
      <c r="C76" s="6" t="s">
        <v>77</v>
      </c>
      <c r="D76" s="25">
        <f>D75+D58</f>
        <v>1324.38</v>
      </c>
      <c r="E76" s="4"/>
      <c r="F76" s="4"/>
      <c r="G76" s="25">
        <f>G75+G58</f>
        <v>1666.73</v>
      </c>
      <c r="H76" s="4"/>
      <c r="I76" s="4"/>
    </row>
    <row r="77" spans="1:9" x14ac:dyDescent="0.25">
      <c r="A77" s="17"/>
      <c r="B77" s="4" t="s">
        <v>608</v>
      </c>
      <c r="C77" s="6" t="s">
        <v>609</v>
      </c>
      <c r="D77" s="24">
        <f>D76-D59</f>
        <v>122.38</v>
      </c>
      <c r="E77" s="4"/>
      <c r="F77" s="4"/>
      <c r="G77" s="24">
        <f>G76-G59</f>
        <v>131.68</v>
      </c>
      <c r="H77" s="4"/>
      <c r="I77" s="4"/>
    </row>
    <row r="78" spans="1:9" x14ac:dyDescent="0.25">
      <c r="A78" s="17"/>
      <c r="B78" s="4" t="s">
        <v>610</v>
      </c>
      <c r="C78" s="6" t="s">
        <v>611</v>
      </c>
      <c r="D78" s="24">
        <f>D53+D40*D58</f>
        <v>1202</v>
      </c>
      <c r="E78" s="4"/>
      <c r="F78" s="4"/>
      <c r="G78" s="24">
        <f>G53+G40*G58</f>
        <v>1275.05</v>
      </c>
      <c r="H78" s="4"/>
      <c r="I78" s="4"/>
    </row>
    <row r="79" spans="1:9" x14ac:dyDescent="0.25">
      <c r="A79" s="17"/>
      <c r="B79" s="4" t="s">
        <v>612</v>
      </c>
      <c r="C79" s="6" t="s">
        <v>613</v>
      </c>
      <c r="D79" s="24">
        <f>IF(D47&gt;0,D16/D47,0)</f>
        <v>135</v>
      </c>
      <c r="E79" s="4"/>
      <c r="F79" s="4"/>
      <c r="G79" s="24">
        <f>IF(G47&gt;0,G16/G47,0)</f>
        <v>156</v>
      </c>
      <c r="H79" s="4"/>
      <c r="I79" s="4"/>
    </row>
    <row r="80" spans="1:9" x14ac:dyDescent="0.25">
      <c r="A80" s="17"/>
      <c r="B80" s="4" t="s">
        <v>614</v>
      </c>
      <c r="C80" s="6" t="s">
        <v>615</v>
      </c>
      <c r="D80" s="12" t="str">
        <f>IF(AND(D47&gt;0,D79&gt;D14),"YES","No")</f>
        <v>No</v>
      </c>
      <c r="E80" s="4"/>
      <c r="F80" s="4"/>
      <c r="G80" s="12" t="str">
        <f>IF(AND(G47&gt;0,G79&gt;G14),"YES","No")</f>
        <v>YES</v>
      </c>
      <c r="H80" s="4"/>
      <c r="I80" s="4"/>
    </row>
    <row r="81" spans="1:9" x14ac:dyDescent="0.25">
      <c r="A81" s="17"/>
      <c r="B81" s="4" t="s">
        <v>616</v>
      </c>
      <c r="C81" s="6" t="s">
        <v>617</v>
      </c>
      <c r="D81" s="24">
        <f>IF(D47&gt;0,D17/D47,0)</f>
        <v>170.5</v>
      </c>
      <c r="E81" s="4"/>
      <c r="F81" s="4"/>
      <c r="G81" s="24">
        <f>IF(G47&gt;0,G17/G47,0)</f>
        <v>194.85</v>
      </c>
      <c r="H81" s="4"/>
      <c r="I81" s="4"/>
    </row>
    <row r="82" spans="1:9" x14ac:dyDescent="0.25">
      <c r="A82" s="17"/>
      <c r="B82" s="4" t="s">
        <v>618</v>
      </c>
      <c r="C82" s="6" t="s">
        <v>619</v>
      </c>
      <c r="D82" s="24">
        <f>ROUND(D16+D18+D19-D17,2)</f>
        <v>0</v>
      </c>
      <c r="E82" s="4"/>
      <c r="F82" s="4"/>
      <c r="G82" s="24">
        <f>ROUND(G16+G18+G19-G17,2)</f>
        <v>0</v>
      </c>
      <c r="H82" s="4"/>
      <c r="I82" s="4"/>
    </row>
    <row r="83" spans="1:9" x14ac:dyDescent="0.25">
      <c r="A83" s="17"/>
      <c r="B83" s="4" t="s">
        <v>788</v>
      </c>
      <c r="C83" s="6" t="s">
        <v>789</v>
      </c>
      <c r="D83" s="24">
        <f>0</f>
        <v>0</v>
      </c>
      <c r="E83" s="4"/>
      <c r="F83" s="4"/>
      <c r="G83" s="24">
        <f>ROUND(AVERAGE(G41:G43),2)</f>
        <v>146.33</v>
      </c>
      <c r="H83" s="4"/>
      <c r="I83" s="4"/>
    </row>
    <row r="84" spans="1:9" x14ac:dyDescent="0.25">
      <c r="A84" s="17"/>
      <c r="B84" s="4" t="s">
        <v>620</v>
      </c>
      <c r="C84" s="6" t="s">
        <v>621</v>
      </c>
      <c r="D84" s="24">
        <f>D49+D61+D62+D64+D63</f>
        <v>1254.48</v>
      </c>
      <c r="E84" s="4"/>
      <c r="F84" s="4"/>
      <c r="G84" s="24">
        <f>G49+G61+G62+G64+G63</f>
        <v>1336.83</v>
      </c>
      <c r="H84" s="4"/>
      <c r="I84" s="4"/>
    </row>
    <row r="86" spans="1:13" x14ac:dyDescent="0.25">
      <c r="A86" s="3" t="s">
        <v>622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spans="1:9" x14ac:dyDescent="0.25">
      <c r="A87" s="16" t="s">
        <v>517</v>
      </c>
      <c r="B87" s="16" t="s">
        <v>518</v>
      </c>
      <c r="C87" s="16" t="s">
        <v>519</v>
      </c>
      <c r="D87" s="16" t="s">
        <v>790</v>
      </c>
      <c r="E87" s="16" t="s">
        <v>624</v>
      </c>
      <c r="F87" s="16" t="s">
        <v>625</v>
      </c>
      <c r="G87" s="16" t="s">
        <v>791</v>
      </c>
      <c r="H87" s="16" t="s">
        <v>624</v>
      </c>
      <c r="I87" s="16" t="s">
        <v>625</v>
      </c>
    </row>
    <row r="88" spans="1:9" x14ac:dyDescent="0.25">
      <c r="A88" s="17" t="s">
        <v>626</v>
      </c>
      <c r="B88" s="4" t="s">
        <v>61</v>
      </c>
      <c r="C88" s="6" t="s">
        <v>627</v>
      </c>
      <c r="D88" s="18">
        <f>D47</f>
        <v>3</v>
      </c>
      <c r="E88" s="26"/>
      <c r="F88" s="27" t="str">
        <f>IF(E88="","",IF(ABS(E88-D88)&lt;=Setup!$C$6,"PASS","FAIL"))</f>
        <v/>
      </c>
      <c r="G88" s="18">
        <f>G47</f>
        <v>3</v>
      </c>
      <c r="H88" s="26"/>
      <c r="I88" s="27" t="str">
        <f>IF(H88="","",IF(ABS(H88-G88)&lt;=Setup!$C$6,"PASS","FAIL"))</f>
        <v/>
      </c>
    </row>
    <row r="89" spans="1:9" x14ac:dyDescent="0.25">
      <c r="A89" s="17" t="s">
        <v>628</v>
      </c>
      <c r="B89" s="4" t="s">
        <v>571</v>
      </c>
      <c r="C89" s="6" t="s">
        <v>627</v>
      </c>
      <c r="D89" s="18">
        <f>D48</f>
        <v>2</v>
      </c>
      <c r="E89" s="26"/>
      <c r="F89" s="27" t="str">
        <f>IF(E89="","",IF(ABS(E89-D89)&lt;=Setup!$C$6,"PASS","FAIL"))</f>
        <v/>
      </c>
      <c r="G89" s="18">
        <f>G48</f>
        <v>2</v>
      </c>
      <c r="H89" s="26"/>
      <c r="I89" s="27" t="str">
        <f>IF(H89="","",IF(ABS(H89-G89)&lt;=Setup!$C$6,"PASS","FAIL"))</f>
        <v/>
      </c>
    </row>
    <row r="90" spans="1:9" x14ac:dyDescent="0.25">
      <c r="A90" s="17" t="s">
        <v>629</v>
      </c>
      <c r="B90" s="4" t="s">
        <v>630</v>
      </c>
      <c r="C90" s="6" t="s">
        <v>627</v>
      </c>
      <c r="D90" s="24">
        <f>D49</f>
        <v>241.5</v>
      </c>
      <c r="E90" s="28"/>
      <c r="F90" s="27" t="str">
        <f>IF(E90="","",IF(ABS(E90-D90)&lt;=Setup!$C$6,"PASS","FAIL"))</f>
        <v/>
      </c>
      <c r="G90" s="24">
        <f>G49</f>
        <v>241.5</v>
      </c>
      <c r="H90" s="28"/>
      <c r="I90" s="27" t="str">
        <f>IF(H90="","",IF(ABS(H90-G90)&lt;=Setup!$C$6,"PASS","FAIL"))</f>
        <v/>
      </c>
    </row>
    <row r="91" spans="1:9" x14ac:dyDescent="0.25">
      <c r="A91" s="17" t="s">
        <v>631</v>
      </c>
      <c r="B91" s="4" t="s">
        <v>66</v>
      </c>
      <c r="C91" s="6" t="s">
        <v>627</v>
      </c>
      <c r="D91" s="24">
        <f>D51</f>
        <v>1140</v>
      </c>
      <c r="E91" s="28"/>
      <c r="F91" s="27" t="str">
        <f>IF(E91="","",IF(ABS(E91-D91)&lt;=Setup!$C$6,"PASS","FAIL"))</f>
        <v/>
      </c>
      <c r="G91" s="24">
        <f>G51</f>
        <v>1213.05</v>
      </c>
      <c r="H91" s="28"/>
      <c r="I91" s="27" t="str">
        <f>IF(H91="","",IF(ABS(H91-G91)&lt;=Setup!$C$6,"PASS","FAIL"))</f>
        <v/>
      </c>
    </row>
    <row r="92" spans="1:9" x14ac:dyDescent="0.25">
      <c r="A92" s="17" t="s">
        <v>632</v>
      </c>
      <c r="B92" s="4" t="s">
        <v>68</v>
      </c>
      <c r="C92" s="6" t="s">
        <v>627</v>
      </c>
      <c r="D92" s="24">
        <f>D53</f>
        <v>1202</v>
      </c>
      <c r="E92" s="28"/>
      <c r="F92" s="27" t="str">
        <f>IF(E92="","",IF(ABS(E92-D92)&lt;=Setup!$C$6,"PASS","FAIL"))</f>
        <v/>
      </c>
      <c r="G92" s="24">
        <f>G53</f>
        <v>1275.05</v>
      </c>
      <c r="H92" s="28"/>
      <c r="I92" s="27" t="str">
        <f>IF(H92="","",IF(ABS(H92-G92)&lt;=Setup!$C$6,"PASS","FAIL"))</f>
        <v/>
      </c>
    </row>
    <row r="93" spans="1:9" x14ac:dyDescent="0.25">
      <c r="A93" s="17" t="s">
        <v>633</v>
      </c>
      <c r="B93" s="4" t="s">
        <v>634</v>
      </c>
      <c r="C93" s="6" t="s">
        <v>635</v>
      </c>
      <c r="D93" s="24">
        <f>D78</f>
        <v>1202</v>
      </c>
      <c r="E93" s="28"/>
      <c r="F93" s="27" t="str">
        <f>IF(E93="","",IF(ABS(E93-D93)&lt;=Setup!$C$6,"PASS","FAIL"))</f>
        <v/>
      </c>
      <c r="G93" s="24">
        <f>G78</f>
        <v>1275.05</v>
      </c>
      <c r="H93" s="28"/>
      <c r="I93" s="27" t="str">
        <f>IF(H93="","",IF(ABS(H93-G93)&lt;=Setup!$C$6,"PASS","FAIL"))</f>
        <v/>
      </c>
    </row>
    <row r="94" spans="1:9" x14ac:dyDescent="0.25">
      <c r="A94" s="17" t="s">
        <v>636</v>
      </c>
      <c r="B94" s="4" t="s">
        <v>66</v>
      </c>
      <c r="C94" s="6" t="s">
        <v>88</v>
      </c>
      <c r="D94" s="24">
        <f>D51</f>
        <v>1140</v>
      </c>
      <c r="E94" s="28"/>
      <c r="F94" s="27" t="str">
        <f>IF(E94="","",IF(ABS(E94-D94)&lt;=Setup!$C$6,"PASS","FAIL"))</f>
        <v/>
      </c>
      <c r="G94" s="24">
        <f>G51</f>
        <v>1213.05</v>
      </c>
      <c r="H94" s="28"/>
      <c r="I94" s="27" t="str">
        <f>IF(H94="","",IF(ABS(H94-G94)&lt;=Setup!$C$6,"PASS","FAIL"))</f>
        <v/>
      </c>
    </row>
    <row r="95" spans="1:9" x14ac:dyDescent="0.25">
      <c r="A95" s="17" t="s">
        <v>637</v>
      </c>
      <c r="B95" s="4" t="s">
        <v>68</v>
      </c>
      <c r="C95" s="6" t="s">
        <v>88</v>
      </c>
      <c r="D95" s="24">
        <f>D53</f>
        <v>1202</v>
      </c>
      <c r="E95" s="28"/>
      <c r="F95" s="27" t="str">
        <f>IF(E95="","",IF(ABS(E95-D95)&lt;=Setup!$C$6,"PASS","FAIL"))</f>
        <v/>
      </c>
      <c r="G95" s="24">
        <f>G53</f>
        <v>1275.05</v>
      </c>
      <c r="H95" s="28"/>
      <c r="I95" s="27" t="str">
        <f>IF(H95="","",IF(ABS(H95-G95)&lt;=Setup!$C$6,"PASS","FAIL"))</f>
        <v/>
      </c>
    </row>
    <row r="96" spans="1:9" x14ac:dyDescent="0.25">
      <c r="A96" s="17" t="s">
        <v>638</v>
      </c>
      <c r="B96" s="4" t="s">
        <v>71</v>
      </c>
      <c r="C96" s="6" t="s">
        <v>639</v>
      </c>
      <c r="D96" s="24">
        <f>D58</f>
        <v>0</v>
      </c>
      <c r="E96" s="28"/>
      <c r="F96" s="27" t="str">
        <f>IF(E96="","",IF(ABS(E96-D96)&lt;=Setup!$C$6,"PASS","FAIL"))</f>
        <v/>
      </c>
      <c r="G96" s="24">
        <f>G58</f>
        <v>260</v>
      </c>
      <c r="H96" s="28"/>
      <c r="I96" s="27" t="str">
        <f>IF(H96="","",IF(ABS(H96-G96)&lt;=Setup!$C$6,"PASS","FAIL"))</f>
        <v/>
      </c>
    </row>
    <row r="97" spans="1:9" x14ac:dyDescent="0.25">
      <c r="A97" s="17" t="s">
        <v>640</v>
      </c>
      <c r="B97" s="4" t="s">
        <v>586</v>
      </c>
      <c r="C97" s="6" t="s">
        <v>88</v>
      </c>
      <c r="D97" s="24">
        <f>D59</f>
        <v>1202</v>
      </c>
      <c r="E97" s="28"/>
      <c r="F97" s="27" t="str">
        <f>IF(E97="","",IF(ABS(E97-D97)&lt;=Setup!$C$6,"PASS","FAIL"))</f>
        <v/>
      </c>
      <c r="G97" s="24">
        <f>G59</f>
        <v>1535.05</v>
      </c>
      <c r="H97" s="28"/>
      <c r="I97" s="27" t="str">
        <f>IF(H97="","",IF(ABS(H97-G97)&lt;=Setup!$C$6,"PASS","FAIL"))</f>
        <v/>
      </c>
    </row>
    <row r="98" spans="1:9" x14ac:dyDescent="0.25">
      <c r="A98" s="17" t="s">
        <v>641</v>
      </c>
      <c r="B98" s="4" t="s">
        <v>74</v>
      </c>
      <c r="C98" s="6" t="s">
        <v>88</v>
      </c>
      <c r="D98" s="24">
        <f>D75</f>
        <v>1324.38</v>
      </c>
      <c r="E98" s="28"/>
      <c r="F98" s="27" t="str">
        <f>IF(E98="","",IF(ABS(E98-D98)&lt;=Setup!$C$6,"PASS","FAIL"))</f>
        <v/>
      </c>
      <c r="G98" s="24">
        <f>G75</f>
        <v>1406.73</v>
      </c>
      <c r="H98" s="28"/>
      <c r="I98" s="27" t="str">
        <f>IF(H98="","",IF(ABS(H98-G98)&lt;=Setup!$C$6,"PASS","FAIL"))</f>
        <v/>
      </c>
    </row>
    <row r="99" spans="1:9" x14ac:dyDescent="0.25">
      <c r="A99" s="17" t="s">
        <v>642</v>
      </c>
      <c r="B99" s="4" t="s">
        <v>76</v>
      </c>
      <c r="C99" s="6" t="s">
        <v>88</v>
      </c>
      <c r="D99" s="24">
        <f>D76</f>
        <v>1324.38</v>
      </c>
      <c r="E99" s="28"/>
      <c r="F99" s="27" t="str">
        <f>IF(E99="","",IF(ABS(E99-D99)&lt;=Setup!$C$6,"PASS","FAIL"))</f>
        <v/>
      </c>
      <c r="G99" s="24">
        <f>G76</f>
        <v>1666.73</v>
      </c>
      <c r="H99" s="28"/>
      <c r="I99" s="27" t="str">
        <f>IF(H99="","",IF(ABS(H99-G99)&lt;=Setup!$C$6,"PASS","FAIL"))</f>
        <v/>
      </c>
    </row>
    <row r="100" spans="1:9" x14ac:dyDescent="0.25">
      <c r="A100" s="17" t="s">
        <v>759</v>
      </c>
      <c r="B100" s="4" t="s">
        <v>580</v>
      </c>
      <c r="C100" s="6" t="s">
        <v>760</v>
      </c>
      <c r="D100" s="24">
        <f>D54</f>
        <v>0</v>
      </c>
      <c r="E100" s="28"/>
      <c r="F100" s="27" t="str">
        <f>IF(E100="","",IF(ABS(E100-D100)&lt;=Setup!$C$6,"PASS","FAIL"))</f>
        <v/>
      </c>
      <c r="G100" s="24">
        <f>G54</f>
        <v>260</v>
      </c>
      <c r="H100" s="28"/>
      <c r="I100" s="27" t="str">
        <f>IF(H100="","",IF(ABS(H100-G100)&lt;=Setup!$C$6,"PASS","FAIL"))</f>
        <v/>
      </c>
    </row>
    <row r="101" spans="1:9" x14ac:dyDescent="0.25">
      <c r="A101" s="17" t="s">
        <v>643</v>
      </c>
      <c r="B101" s="4" t="s">
        <v>644</v>
      </c>
      <c r="C101" s="6" t="s">
        <v>645</v>
      </c>
      <c r="D101" s="24">
        <f>D61</f>
        <v>576.67</v>
      </c>
      <c r="E101" s="28"/>
      <c r="F101" s="27" t="str">
        <f>IF(E101="","",IF(ABS(E101-D101)&lt;=Setup!$C$6,"PASS","FAIL"))</f>
        <v/>
      </c>
      <c r="G101" s="24">
        <f>G61</f>
        <v>659.02</v>
      </c>
      <c r="H101" s="28"/>
      <c r="I101" s="27" t="str">
        <f>IF(H101="","",IF(ABS(H101-G101)&lt;=Setup!$C$6,"PASS","FAIL"))</f>
        <v/>
      </c>
    </row>
    <row r="102" spans="1:9" x14ac:dyDescent="0.25">
      <c r="A102" s="17" t="s">
        <v>761</v>
      </c>
      <c r="B102" s="4" t="s">
        <v>762</v>
      </c>
      <c r="C102" s="6" t="s">
        <v>645</v>
      </c>
      <c r="D102" s="24">
        <f>D62</f>
        <v>335.97</v>
      </c>
      <c r="E102" s="28"/>
      <c r="F102" s="27" t="str">
        <f>IF(E102="","",IF(ABS(E102-D102)&lt;=Setup!$C$6,"PASS","FAIL"))</f>
        <v/>
      </c>
      <c r="G102" s="24">
        <f>G62</f>
        <v>335.97</v>
      </c>
      <c r="H102" s="28"/>
      <c r="I102" s="27" t="str">
        <f>IF(H102="","",IF(ABS(H102-G102)&lt;=Setup!$C$6,"PASS","FAIL"))</f>
        <v/>
      </c>
    </row>
    <row r="103" spans="1:9" x14ac:dyDescent="0.25">
      <c r="A103" s="17" t="s">
        <v>792</v>
      </c>
      <c r="B103" s="4" t="s">
        <v>793</v>
      </c>
      <c r="C103" s="6" t="s">
        <v>645</v>
      </c>
      <c r="D103" s="24">
        <f>D63</f>
        <v>39.46</v>
      </c>
      <c r="E103" s="28"/>
      <c r="F103" s="27" t="str">
        <f>IF(E103="","",IF(ABS(E103-D103)&lt;=Setup!$C$6,"PASS","FAIL"))</f>
        <v/>
      </c>
      <c r="G103" s="24">
        <f>G63</f>
        <v>39.46</v>
      </c>
      <c r="H103" s="28"/>
      <c r="I103" s="27" t="str">
        <f>IF(H103="","",IF(ABS(H103-G103)&lt;=Setup!$C$6,"PASS","FAIL"))</f>
        <v/>
      </c>
    </row>
    <row r="104" spans="1:9" x14ac:dyDescent="0.25">
      <c r="A104" s="17" t="s">
        <v>763</v>
      </c>
      <c r="B104" s="4" t="s">
        <v>764</v>
      </c>
      <c r="C104" s="6" t="s">
        <v>645</v>
      </c>
      <c r="D104" s="24">
        <f>D64</f>
        <v>60.88</v>
      </c>
      <c r="E104" s="28"/>
      <c r="F104" s="27" t="str">
        <f>IF(E104="","",IF(ABS(E104-D104)&lt;=Setup!$C$6,"PASS","FAIL"))</f>
        <v/>
      </c>
      <c r="G104" s="24">
        <f>G64</f>
        <v>60.88</v>
      </c>
      <c r="H104" s="28"/>
      <c r="I104" s="27" t="str">
        <f>IF(H104="","",IF(ABS(H104-G104)&lt;=Setup!$C$6,"PASS","FAIL"))</f>
        <v/>
      </c>
    </row>
    <row r="105" spans="1:9" x14ac:dyDescent="0.25">
      <c r="A105" s="17" t="s">
        <v>794</v>
      </c>
      <c r="B105" s="4" t="s">
        <v>795</v>
      </c>
      <c r="C105" s="6" t="s">
        <v>645</v>
      </c>
      <c r="D105" s="24">
        <f>D69</f>
        <v>69.9</v>
      </c>
      <c r="E105" s="28"/>
      <c r="F105" s="27" t="str">
        <f>IF(E105="","",IF(ABS(E105-D105)&lt;=Setup!$C$6,"PASS","FAIL"))</f>
        <v/>
      </c>
      <c r="G105" s="24">
        <f>G69</f>
        <v>69.9</v>
      </c>
      <c r="H105" s="28"/>
      <c r="I105" s="27" t="str">
        <f>IF(H105="","",IF(ABS(H105-G105)&lt;=Setup!$C$6,"PASS","FAIL"))</f>
        <v/>
      </c>
    </row>
    <row r="106" spans="1:9" x14ac:dyDescent="0.25">
      <c r="A106" s="17" t="s">
        <v>654</v>
      </c>
      <c r="B106" s="4" t="s">
        <v>655</v>
      </c>
      <c r="C106" s="6" t="s">
        <v>656</v>
      </c>
      <c r="D106" s="24">
        <f>D59</f>
        <v>1202</v>
      </c>
      <c r="E106" s="28"/>
      <c r="F106" s="27" t="str">
        <f>IF(E106="","",IF(ABS(E106-D106)&lt;=Setup!$C$6,"PASS","FAIL"))</f>
        <v/>
      </c>
      <c r="G106" s="24">
        <f>G59</f>
        <v>1535.05</v>
      </c>
      <c r="H106" s="28"/>
      <c r="I106" s="27" t="str">
        <f>IF(H106="","",IF(ABS(H106-G106)&lt;=Setup!$C$6,"PASS","FAIL"))</f>
        <v/>
      </c>
    </row>
    <row r="107" spans="1:9" x14ac:dyDescent="0.25">
      <c r="A107" s="17" t="s">
        <v>657</v>
      </c>
      <c r="B107" s="4" t="s">
        <v>658</v>
      </c>
      <c r="C107" s="6" t="s">
        <v>659</v>
      </c>
      <c r="D107" s="24">
        <f>D76</f>
        <v>1324.38</v>
      </c>
      <c r="E107" s="28"/>
      <c r="F107" s="27" t="str">
        <f>IF(E107="","",IF(ABS(E107-D107)&lt;=Setup!$C$6,"PASS","FAIL"))</f>
        <v/>
      </c>
      <c r="G107" s="24">
        <f>G76</f>
        <v>1666.73</v>
      </c>
      <c r="H107" s="28"/>
      <c r="I107" s="27" t="str">
        <f>IF(H107="","",IF(ABS(H107-G107)&lt;=Setup!$C$6,"PASS","FAIL"))</f>
        <v/>
      </c>
    </row>
    <row r="108" spans="1:9" x14ac:dyDescent="0.25">
      <c r="A108" s="17" t="s">
        <v>660</v>
      </c>
      <c r="B108" s="4" t="s">
        <v>66</v>
      </c>
      <c r="C108" s="6" t="s">
        <v>93</v>
      </c>
      <c r="D108" s="24">
        <f>D84</f>
        <v>1254.48</v>
      </c>
      <c r="E108" s="28"/>
      <c r="F108" s="27" t="str">
        <f>IF(E108="","",IF(ABS(E108-D108)&lt;=Setup!$C$6,"PASS","FAIL"))</f>
        <v/>
      </c>
      <c r="G108" s="24">
        <f>G84</f>
        <v>1336.83</v>
      </c>
      <c r="H108" s="28"/>
      <c r="I108" s="27" t="str">
        <f>IF(H108="","",IF(ABS(H108-G108)&lt;=Setup!$C$6,"PASS","FAIL"))</f>
        <v/>
      </c>
    </row>
    <row r="109" spans="1:9" x14ac:dyDescent="0.25">
      <c r="A109" s="17" t="s">
        <v>661</v>
      </c>
      <c r="B109" s="4" t="s">
        <v>68</v>
      </c>
      <c r="C109" s="6" t="s">
        <v>93</v>
      </c>
      <c r="D109" s="24">
        <f>D75</f>
        <v>1324.38</v>
      </c>
      <c r="E109" s="28"/>
      <c r="F109" s="27" t="str">
        <f>IF(E109="","",IF(ABS(E109-D109)&lt;=Setup!$C$6,"PASS","FAIL"))</f>
        <v/>
      </c>
      <c r="G109" s="24">
        <f>G75</f>
        <v>1406.73</v>
      </c>
      <c r="H109" s="28"/>
      <c r="I109" s="27" t="str">
        <f>IF(H109="","",IF(ABS(H109-G109)&lt;=Setup!$C$6,"PASS","FAIL"))</f>
        <v/>
      </c>
    </row>
    <row r="110" spans="1:9" x14ac:dyDescent="0.25">
      <c r="A110" s="17" t="s">
        <v>662</v>
      </c>
      <c r="B110" s="4" t="s">
        <v>71</v>
      </c>
      <c r="C110" s="6" t="s">
        <v>93</v>
      </c>
      <c r="D110" s="24">
        <f>D58</f>
        <v>0</v>
      </c>
      <c r="E110" s="28"/>
      <c r="F110" s="27" t="str">
        <f>IF(E110="","",IF(ABS(E110-D110)&lt;=Setup!$C$6,"PASS","FAIL"))</f>
        <v/>
      </c>
      <c r="G110" s="24">
        <f>G58</f>
        <v>260</v>
      </c>
      <c r="H110" s="28"/>
      <c r="I110" s="27" t="str">
        <f>IF(H110="","",IF(ABS(H110-G110)&lt;=Setup!$C$6,"PASS","FAIL"))</f>
        <v/>
      </c>
    </row>
    <row r="111" spans="1:9" x14ac:dyDescent="0.25">
      <c r="A111" s="17" t="s">
        <v>663</v>
      </c>
      <c r="B111" s="4" t="s">
        <v>664</v>
      </c>
      <c r="C111" s="6" t="s">
        <v>93</v>
      </c>
      <c r="D111" s="24">
        <f>D76</f>
        <v>1324.38</v>
      </c>
      <c r="E111" s="28"/>
      <c r="F111" s="27" t="str">
        <f>IF(E111="","",IF(ABS(E111-D111)&lt;=Setup!$C$6,"PASS","FAIL"))</f>
        <v/>
      </c>
      <c r="G111" s="24">
        <f>G76</f>
        <v>1666.73</v>
      </c>
      <c r="H111" s="28"/>
      <c r="I111" s="27" t="str">
        <f>IF(H111="","",IF(ABS(H111-G111)&lt;=Setup!$C$6,"PASS","FAIL"))</f>
        <v/>
      </c>
    </row>
    <row r="112" spans="1:9" x14ac:dyDescent="0.25">
      <c r="A112" s="17" t="s">
        <v>665</v>
      </c>
      <c r="B112" s="4" t="s">
        <v>666</v>
      </c>
      <c r="C112" s="6" t="s">
        <v>667</v>
      </c>
      <c r="D112" s="24">
        <f>D79</f>
        <v>135</v>
      </c>
      <c r="E112" s="28"/>
      <c r="F112" s="27" t="str">
        <f>IF(E112="","",IF(ABS(E112-D112)&lt;=Setup!$C$6,"PASS","FAIL"))</f>
        <v/>
      </c>
      <c r="G112" s="24">
        <f>G79</f>
        <v>156</v>
      </c>
      <c r="H112" s="28"/>
      <c r="I112" s="27" t="str">
        <f>IF(H112="","",IF(ABS(H112-G112)&lt;=Setup!$C$6,"PASS","FAIL"))</f>
        <v/>
      </c>
    </row>
    <row r="113" spans="1:9" x14ac:dyDescent="0.25">
      <c r="A113" s="17" t="s">
        <v>668</v>
      </c>
      <c r="B113" s="4" t="s">
        <v>669</v>
      </c>
      <c r="C113" s="6" t="s">
        <v>83</v>
      </c>
      <c r="D113" s="12" t="str">
        <f>D80</f>
        <v>No</v>
      </c>
      <c r="E113" s="9"/>
      <c r="F113" s="27" t="str">
        <f>IF(E113="","",IF(UPPER(E113)=UPPER(D113),"PASS","FAIL"))</f>
        <v/>
      </c>
      <c r="G113" s="12" t="str">
        <f>G80</f>
        <v>YES</v>
      </c>
      <c r="H113" s="9"/>
      <c r="I113" s="27" t="str">
        <f>IF(H113="","",IF(UPPER(H113)=UPPER(G113),"PASS","FAIL"))</f>
        <v/>
      </c>
    </row>
    <row r="114" spans="1:9" x14ac:dyDescent="0.25">
      <c r="A114" s="17" t="s">
        <v>670</v>
      </c>
      <c r="B114" s="4" t="s">
        <v>616</v>
      </c>
      <c r="C114" s="6" t="s">
        <v>671</v>
      </c>
      <c r="D114" s="24">
        <f>D81</f>
        <v>170.5</v>
      </c>
      <c r="E114" s="15"/>
      <c r="F114" s="15" t="s">
        <v>672</v>
      </c>
      <c r="G114" s="24">
        <f>G81</f>
        <v>194.85</v>
      </c>
      <c r="H114" s="15"/>
      <c r="I114" s="15" t="s">
        <v>672</v>
      </c>
    </row>
    <row r="115" spans="1:9" x14ac:dyDescent="0.25">
      <c r="A115" s="17" t="s">
        <v>796</v>
      </c>
      <c r="B115" s="4" t="s">
        <v>797</v>
      </c>
      <c r="C115" s="6" t="s">
        <v>798</v>
      </c>
      <c r="D115" s="24">
        <f>D83</f>
        <v>0</v>
      </c>
      <c r="E115" s="28"/>
      <c r="F115" s="27" t="str">
        <f>IF(E115="","",IF(ABS(E115-D115)&lt;=Setup!$C$6,"PASS","FAIL"))</f>
        <v/>
      </c>
      <c r="G115" s="24">
        <f>G83</f>
        <v>146.33</v>
      </c>
      <c r="H115" s="28"/>
      <c r="I115" s="27" t="str">
        <f>IF(H115="","",IF(ABS(H115-G115)&lt;=Setup!$C$6,"PASS","FAIL"))</f>
        <v/>
      </c>
    </row>
    <row r="116" spans="2:2" x14ac:dyDescent="0.25">
      <c r="B116" s="2" t="s">
        <v>673</v>
      </c>
    </row>
  </sheetData>
  <mergeCells count="2">
    <mergeCell ref="A2:M2"/>
    <mergeCell ref="A3:M3"/>
  </mergeCells>
  <conditionalFormatting sqref="A1:M116">
    <cfRule type="cellIs" dxfId="30" priority="1" operator="equal">
      <formula>"PASS"</formula>
    </cfRule>
    <cfRule type="cellIs" dxfId="31" priority="2" operator="equal">
      <formula>"OK"</formula>
    </cfRule>
    <cfRule type="cellIs" dxfId="32" priority="3" operator="equal">
      <formula>"Covered"</formula>
    </cfRule>
    <cfRule type="cellIs" dxfId="33" priority="4" operator="equal">
      <formula>"FAIL"</formula>
    </cfRule>
    <cfRule type="cellIs" dxfId="34" priority="5" operator="equal">
      <formula>"CHECK"</formula>
    </cfRule>
    <cfRule type="cellIs" dxfId="35" priority="6" operator="equal">
      <formula>"GAP"</formula>
    </cfRule>
  </conditionalFormatting>
  <pageSetup orientation="landscape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8F82"/>
    <pageSetUpPr fitToPage="1"/>
  </sheetPr>
  <dimension ref="A1:M158"/>
  <sheetViews>
    <sheetView workbookViewId="0" showGridLines="0"/>
  </sheetViews>
  <sheetFormatPr defaultRowHeight="15" outlineLevelRow="0" outlineLevelCol="0" x14ac:dyDescent="55"/>
  <cols>
    <col min="1" max="1" width="8" customWidth="1"/>
    <col min="2" max="2" width="40" customWidth="1"/>
    <col min="3" max="3" width="52" customWidth="1"/>
    <col min="4" max="6" width="15" customWidth="1"/>
    <col min="7" max="13" width="14" customWidth="1"/>
  </cols>
  <sheetData>
    <row r="1" ht="26" customHeight="1" spans="1:1" x14ac:dyDescent="0.25">
      <c r="A1" s="1" t="s">
        <v>799</v>
      </c>
    </row>
    <row r="2" ht="42" customHeight="1" spans="1:13" x14ac:dyDescent="0.25">
      <c r="A2" s="2" t="s">
        <v>136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5">
      <c r="A3" s="2" t="s">
        <v>800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5" spans="1:13" x14ac:dyDescent="0.25">
      <c r="A5" s="3" t="s">
        <v>516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6" x14ac:dyDescent="0.25">
      <c r="A6" s="16" t="s">
        <v>517</v>
      </c>
      <c r="B6" s="16" t="s">
        <v>518</v>
      </c>
      <c r="C6" s="16" t="s">
        <v>519</v>
      </c>
      <c r="D6" s="16" t="s">
        <v>133</v>
      </c>
      <c r="E6" s="16"/>
      <c r="F6" s="16"/>
    </row>
    <row r="7" spans="1:6" x14ac:dyDescent="0.25">
      <c r="A7" s="17"/>
      <c r="B7" s="4" t="s">
        <v>520</v>
      </c>
      <c r="C7" s="6" t="s">
        <v>521</v>
      </c>
      <c r="D7" s="8" t="s">
        <v>801</v>
      </c>
      <c r="E7" s="4"/>
      <c r="F7" s="4"/>
    </row>
    <row r="8" spans="1:6" x14ac:dyDescent="0.25">
      <c r="A8" s="17"/>
      <c r="B8" s="4" t="s">
        <v>523</v>
      </c>
      <c r="C8" s="6"/>
      <c r="D8" s="8" t="s">
        <v>802</v>
      </c>
      <c r="E8" s="4"/>
      <c r="F8" s="4"/>
    </row>
    <row r="9" spans="1:6" x14ac:dyDescent="0.25">
      <c r="A9" s="17"/>
      <c r="B9" s="4" t="s">
        <v>525</v>
      </c>
      <c r="C9" s="6" t="s">
        <v>526</v>
      </c>
      <c r="D9" s="8" t="s">
        <v>803</v>
      </c>
      <c r="E9" s="4"/>
      <c r="F9" s="4"/>
    </row>
    <row r="10" spans="1:6" x14ac:dyDescent="0.25">
      <c r="A10" s="17"/>
      <c r="B10" s="4" t="s">
        <v>528</v>
      </c>
      <c r="C10" s="6" t="s">
        <v>529</v>
      </c>
      <c r="D10" s="8" t="s">
        <v>530</v>
      </c>
      <c r="E10" s="4"/>
      <c r="F10" s="4"/>
    </row>
    <row r="11" spans="1:6" x14ac:dyDescent="0.25">
      <c r="A11" s="17"/>
      <c r="B11" s="4" t="s">
        <v>531</v>
      </c>
      <c r="C11" s="6"/>
      <c r="D11" s="20">
        <v>46357</v>
      </c>
      <c r="E11" s="4"/>
      <c r="F11" s="4"/>
    </row>
    <row r="12" spans="1:6" x14ac:dyDescent="0.25">
      <c r="A12" s="17"/>
      <c r="B12" s="4" t="s">
        <v>532</v>
      </c>
      <c r="C12" s="6"/>
      <c r="D12" s="20">
        <v>46367</v>
      </c>
      <c r="E12" s="4"/>
      <c r="F12" s="4"/>
    </row>
    <row r="13" spans="1:6" x14ac:dyDescent="0.25">
      <c r="A13" s="17"/>
      <c r="B13" s="4" t="s">
        <v>533</v>
      </c>
      <c r="C13" s="6" t="s">
        <v>534</v>
      </c>
      <c r="D13" s="21">
        <v>4</v>
      </c>
      <c r="E13" s="4"/>
      <c r="F13" s="4"/>
    </row>
    <row r="14" spans="1:6" x14ac:dyDescent="0.25">
      <c r="A14" s="17"/>
      <c r="B14" s="4" t="s">
        <v>535</v>
      </c>
      <c r="C14" s="6" t="s">
        <v>536</v>
      </c>
      <c r="D14" s="7">
        <v>189</v>
      </c>
      <c r="E14" s="4"/>
      <c r="F14" s="4"/>
    </row>
    <row r="15" spans="1:6" x14ac:dyDescent="0.25">
      <c r="A15" s="17"/>
      <c r="B15" s="4" t="s">
        <v>537</v>
      </c>
      <c r="C15" s="6" t="s">
        <v>536</v>
      </c>
      <c r="D15" s="7">
        <v>79</v>
      </c>
      <c r="E15" s="4"/>
      <c r="F15" s="4"/>
    </row>
    <row r="16" spans="1:6" x14ac:dyDescent="0.25">
      <c r="A16" s="17"/>
      <c r="B16" s="4" t="s">
        <v>538</v>
      </c>
      <c r="C16" s="6" t="s">
        <v>539</v>
      </c>
      <c r="D16" s="7">
        <v>1764</v>
      </c>
      <c r="E16" s="4"/>
      <c r="F16" s="4"/>
    </row>
    <row r="17" spans="1:6" x14ac:dyDescent="0.25">
      <c r="A17" s="17"/>
      <c r="B17" s="4" t="s">
        <v>540</v>
      </c>
      <c r="C17" s="6" t="s">
        <v>539</v>
      </c>
      <c r="D17" s="7">
        <v>2119.62</v>
      </c>
      <c r="E17" s="4"/>
      <c r="F17" s="4"/>
    </row>
    <row r="18" spans="1:6" x14ac:dyDescent="0.25">
      <c r="A18" s="17"/>
      <c r="B18" s="4" t="s">
        <v>541</v>
      </c>
      <c r="C18" s="6" t="s">
        <v>542</v>
      </c>
      <c r="D18" s="7">
        <v>120</v>
      </c>
      <c r="E18" s="4"/>
      <c r="F18" s="4"/>
    </row>
    <row r="19" spans="1:6" x14ac:dyDescent="0.25">
      <c r="A19" s="17"/>
      <c r="B19" s="4" t="s">
        <v>543</v>
      </c>
      <c r="C19" s="6" t="s">
        <v>542</v>
      </c>
      <c r="D19" s="7">
        <v>235.62</v>
      </c>
      <c r="E19" s="4"/>
      <c r="F19" s="4"/>
    </row>
    <row r="20" spans="1:6" x14ac:dyDescent="0.25">
      <c r="A20" s="17"/>
      <c r="B20" s="4" t="s">
        <v>544</v>
      </c>
      <c r="C20" s="6" t="s">
        <v>545</v>
      </c>
      <c r="D20" s="7">
        <v>512</v>
      </c>
      <c r="E20" s="4"/>
      <c r="F20" s="4"/>
    </row>
    <row r="21" spans="1:6" x14ac:dyDescent="0.25">
      <c r="A21" s="17"/>
      <c r="B21" s="4" t="s">
        <v>546</v>
      </c>
      <c r="C21" s="6" t="s">
        <v>545</v>
      </c>
      <c r="D21" s="7">
        <v>70</v>
      </c>
      <c r="E21" s="4"/>
      <c r="F21" s="4"/>
    </row>
    <row r="22" spans="1:6" x14ac:dyDescent="0.25">
      <c r="A22" s="17"/>
      <c r="B22" s="4" t="s">
        <v>547</v>
      </c>
      <c r="C22" s="6" t="s">
        <v>545</v>
      </c>
      <c r="D22" s="7">
        <v>96</v>
      </c>
      <c r="E22" s="4"/>
      <c r="F22" s="4"/>
    </row>
    <row r="23" spans="1:6" x14ac:dyDescent="0.25">
      <c r="A23" s="17"/>
      <c r="B23" s="4" t="s">
        <v>548</v>
      </c>
      <c r="C23" s="6" t="s">
        <v>549</v>
      </c>
      <c r="D23" s="7">
        <v>224</v>
      </c>
      <c r="E23" s="4"/>
      <c r="F23" s="4"/>
    </row>
    <row r="24" spans="1:6" x14ac:dyDescent="0.25">
      <c r="A24" s="17"/>
      <c r="B24" s="4" t="s">
        <v>550</v>
      </c>
      <c r="C24" s="6" t="s">
        <v>549</v>
      </c>
      <c r="D24" s="7">
        <v>190</v>
      </c>
      <c r="E24" s="4"/>
      <c r="F24" s="4"/>
    </row>
    <row r="25" spans="1:6" x14ac:dyDescent="0.25">
      <c r="A25" s="17"/>
      <c r="B25" s="4" t="s">
        <v>551</v>
      </c>
      <c r="C25" s="6" t="s">
        <v>549</v>
      </c>
      <c r="D25" s="7">
        <v>0</v>
      </c>
      <c r="E25" s="4"/>
      <c r="F25" s="4"/>
    </row>
    <row r="26" spans="1:6" x14ac:dyDescent="0.25">
      <c r="A26" s="17"/>
      <c r="B26" s="4" t="s">
        <v>552</v>
      </c>
      <c r="C26" s="6" t="s">
        <v>549</v>
      </c>
      <c r="D26" s="7">
        <v>0</v>
      </c>
      <c r="E26" s="4"/>
      <c r="F26" s="4"/>
    </row>
    <row r="27" spans="1:6" x14ac:dyDescent="0.25">
      <c r="A27" s="17"/>
      <c r="B27" s="4" t="s">
        <v>553</v>
      </c>
      <c r="C27" s="6" t="s">
        <v>549</v>
      </c>
      <c r="D27" s="7">
        <v>0</v>
      </c>
      <c r="E27" s="4"/>
      <c r="F27" s="4"/>
    </row>
    <row r="28" spans="1:6" x14ac:dyDescent="0.25">
      <c r="A28" s="17"/>
      <c r="B28" s="4" t="s">
        <v>554</v>
      </c>
      <c r="C28" s="6" t="s">
        <v>549</v>
      </c>
      <c r="D28" s="7">
        <v>0</v>
      </c>
      <c r="E28" s="4"/>
      <c r="F28" s="4"/>
    </row>
    <row r="29" spans="1:6" x14ac:dyDescent="0.25">
      <c r="A29" s="17"/>
      <c r="B29" s="4" t="s">
        <v>555</v>
      </c>
      <c r="C29" s="6" t="s">
        <v>549</v>
      </c>
      <c r="D29" s="7">
        <v>140</v>
      </c>
      <c r="E29" s="4"/>
      <c r="F29" s="4"/>
    </row>
    <row r="30" spans="1:6" x14ac:dyDescent="0.25">
      <c r="A30" s="17"/>
      <c r="B30" s="4" t="s">
        <v>556</v>
      </c>
      <c r="C30" s="6" t="s">
        <v>549</v>
      </c>
      <c r="D30" s="7">
        <v>0</v>
      </c>
      <c r="E30" s="4"/>
      <c r="F30" s="4"/>
    </row>
    <row r="31" spans="1:6" x14ac:dyDescent="0.25">
      <c r="A31" s="4"/>
      <c r="B31" s="22" t="s">
        <v>557</v>
      </c>
      <c r="C31" s="22"/>
      <c r="D31" s="22"/>
      <c r="E31" s="22"/>
      <c r="F31" s="22"/>
    </row>
    <row r="32" spans="1:6" x14ac:dyDescent="0.25">
      <c r="A32" s="17"/>
      <c r="B32" s="4" t="s">
        <v>558</v>
      </c>
      <c r="C32" s="6" t="s">
        <v>559</v>
      </c>
      <c r="D32" s="7">
        <v>55</v>
      </c>
      <c r="E32" s="4"/>
      <c r="F32" s="4"/>
    </row>
    <row r="33" spans="1:6" x14ac:dyDescent="0.25">
      <c r="A33" s="17"/>
      <c r="B33" s="4" t="s">
        <v>560</v>
      </c>
      <c r="C33" s="6"/>
      <c r="D33" s="23">
        <v>8</v>
      </c>
      <c r="E33" s="4"/>
      <c r="F33" s="4"/>
    </row>
    <row r="34" spans="1:6" x14ac:dyDescent="0.25">
      <c r="A34" s="17"/>
      <c r="B34" s="4" t="s">
        <v>561</v>
      </c>
      <c r="C34" s="6"/>
      <c r="D34" s="7">
        <v>0</v>
      </c>
      <c r="E34" s="4"/>
      <c r="F34" s="4"/>
    </row>
    <row r="35" spans="1:6" x14ac:dyDescent="0.25">
      <c r="A35" s="17"/>
      <c r="B35" s="4" t="s">
        <v>562</v>
      </c>
      <c r="C35" s="6"/>
      <c r="D35" s="23">
        <v>0</v>
      </c>
      <c r="E35" s="4"/>
      <c r="F35" s="4"/>
    </row>
    <row r="36" spans="1:6" x14ac:dyDescent="0.25">
      <c r="A36" s="17"/>
      <c r="B36" s="4" t="s">
        <v>563</v>
      </c>
      <c r="C36" s="6"/>
      <c r="D36" s="7">
        <v>48.75</v>
      </c>
      <c r="E36" s="4"/>
      <c r="F36" s="4"/>
    </row>
    <row r="37" spans="1:6" x14ac:dyDescent="0.25">
      <c r="A37" s="17"/>
      <c r="B37" s="4" t="s">
        <v>564</v>
      </c>
      <c r="C37" s="6"/>
      <c r="D37" s="23">
        <v>16</v>
      </c>
      <c r="E37" s="4"/>
      <c r="F37" s="4"/>
    </row>
    <row r="38" spans="1:6" x14ac:dyDescent="0.25">
      <c r="A38" s="17"/>
      <c r="B38" s="4" t="s">
        <v>565</v>
      </c>
      <c r="C38" s="6"/>
      <c r="D38" s="7">
        <v>0</v>
      </c>
      <c r="E38" s="4"/>
      <c r="F38" s="4"/>
    </row>
    <row r="39" spans="1:6" x14ac:dyDescent="0.25">
      <c r="A39" s="17"/>
      <c r="B39" s="4" t="s">
        <v>566</v>
      </c>
      <c r="C39" s="6"/>
      <c r="D39" s="23">
        <v>0</v>
      </c>
      <c r="E39" s="4"/>
      <c r="F39" s="4"/>
    </row>
    <row r="40" spans="1:6" x14ac:dyDescent="0.25">
      <c r="A40" s="17"/>
      <c r="B40" s="4" t="s">
        <v>567</v>
      </c>
      <c r="C40" s="6" t="s">
        <v>568</v>
      </c>
      <c r="D40" s="21">
        <v>0</v>
      </c>
      <c r="E40" s="4"/>
      <c r="F40" s="4"/>
    </row>
    <row r="42" spans="1:13" x14ac:dyDescent="0.25">
      <c r="A42" s="3" t="s">
        <v>569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6" x14ac:dyDescent="0.25">
      <c r="A43" s="16" t="s">
        <v>517</v>
      </c>
      <c r="B43" s="16" t="s">
        <v>518</v>
      </c>
      <c r="C43" s="16" t="s">
        <v>519</v>
      </c>
      <c r="D43" s="16" t="s">
        <v>133</v>
      </c>
      <c r="E43" s="16"/>
      <c r="F43" s="16"/>
    </row>
    <row r="44" spans="1:6" x14ac:dyDescent="0.25">
      <c r="A44" s="17"/>
      <c r="B44" s="4" t="s">
        <v>61</v>
      </c>
      <c r="C44" s="6" t="s">
        <v>570</v>
      </c>
      <c r="D44" s="18">
        <f>MAX(0,D12-D11)</f>
        <v>10</v>
      </c>
      <c r="E44" s="4"/>
      <c r="F44" s="4"/>
    </row>
    <row r="45" spans="1:6" x14ac:dyDescent="0.25">
      <c r="A45" s="17"/>
      <c r="B45" s="4" t="s">
        <v>571</v>
      </c>
      <c r="C45" s="6" t="s">
        <v>572</v>
      </c>
      <c r="D45" s="18">
        <f>MAX(D44-1,0)</f>
        <v>9</v>
      </c>
      <c r="E45" s="4"/>
      <c r="F45" s="4"/>
    </row>
    <row r="46" spans="1:6" x14ac:dyDescent="0.25">
      <c r="A46" s="17"/>
      <c r="B46" s="4" t="s">
        <v>573</v>
      </c>
      <c r="C46" s="6" t="s">
        <v>574</v>
      </c>
      <c r="D46" s="24">
        <f>1.5*D15+D45*D15</f>
        <v>829.5</v>
      </c>
      <c r="E46" s="4"/>
      <c r="F46" s="4"/>
    </row>
    <row r="47" spans="1:6" x14ac:dyDescent="0.25">
      <c r="A47" s="17"/>
      <c r="B47" s="4" t="s">
        <v>575</v>
      </c>
      <c r="C47" s="6" t="s">
        <v>576</v>
      </c>
      <c r="D47" s="24">
        <f>D17+D20+D22+D21</f>
        <v>2797.62</v>
      </c>
      <c r="E47" s="4"/>
      <c r="F47" s="4"/>
    </row>
    <row r="48" spans="1:6" x14ac:dyDescent="0.25">
      <c r="A48" s="17"/>
      <c r="B48" s="10" t="s">
        <v>66</v>
      </c>
      <c r="C48" s="6" t="s">
        <v>577</v>
      </c>
      <c r="D48" s="25">
        <f>D46+D47</f>
        <v>3627.12</v>
      </c>
      <c r="E48" s="4"/>
      <c r="F48" s="4"/>
    </row>
    <row r="49" spans="1:6" x14ac:dyDescent="0.25">
      <c r="A49" s="17"/>
      <c r="B49" s="4" t="s">
        <v>578</v>
      </c>
      <c r="C49" s="6" t="s">
        <v>579</v>
      </c>
      <c r="D49" s="24">
        <f>D25+D26+D27+D28+D29+D30+D23+D24</f>
        <v>554</v>
      </c>
      <c r="E49" s="4"/>
      <c r="F49" s="4"/>
    </row>
    <row r="50" spans="1:6" x14ac:dyDescent="0.25">
      <c r="A50" s="17"/>
      <c r="B50" s="10" t="s">
        <v>68</v>
      </c>
      <c r="C50" s="6" t="s">
        <v>69</v>
      </c>
      <c r="D50" s="25">
        <f>D48*D13+D49</f>
        <v>15062.48</v>
      </c>
      <c r="E50" s="4"/>
      <c r="F50" s="4"/>
    </row>
    <row r="51" spans="1:6" x14ac:dyDescent="0.25">
      <c r="A51" s="17"/>
      <c r="B51" s="4" t="s">
        <v>580</v>
      </c>
      <c r="C51" s="6" t="s">
        <v>581</v>
      </c>
      <c r="D51" s="24">
        <f>IF(1&lt;=D13,D32*D33,0)</f>
        <v>440</v>
      </c>
      <c r="E51" s="4"/>
      <c r="F51" s="4"/>
    </row>
    <row r="52" spans="1:6" x14ac:dyDescent="0.25">
      <c r="A52" s="17"/>
      <c r="B52" s="4" t="s">
        <v>582</v>
      </c>
      <c r="C52" s="6" t="s">
        <v>581</v>
      </c>
      <c r="D52" s="24">
        <f>IF(2&lt;=D13,D34*D35,0)</f>
        <v>0</v>
      </c>
      <c r="E52" s="4"/>
      <c r="F52" s="4"/>
    </row>
    <row r="53" spans="1:6" x14ac:dyDescent="0.25">
      <c r="A53" s="17"/>
      <c r="B53" s="4" t="s">
        <v>583</v>
      </c>
      <c r="C53" s="6" t="s">
        <v>581</v>
      </c>
      <c r="D53" s="24">
        <f>IF(3&lt;=D13,D36*D37,0)</f>
        <v>780</v>
      </c>
      <c r="E53" s="4"/>
      <c r="F53" s="4"/>
    </row>
    <row r="54" spans="1:6" x14ac:dyDescent="0.25">
      <c r="A54" s="17"/>
      <c r="B54" s="4" t="s">
        <v>584</v>
      </c>
      <c r="C54" s="6" t="s">
        <v>581</v>
      </c>
      <c r="D54" s="24">
        <f>IF(4&lt;=D13,D38*D39,0)</f>
        <v>0</v>
      </c>
      <c r="E54" s="4"/>
      <c r="F54" s="4"/>
    </row>
    <row r="55" spans="1:6" x14ac:dyDescent="0.25">
      <c r="A55" s="17"/>
      <c r="B55" s="10" t="s">
        <v>71</v>
      </c>
      <c r="C55" s="6" t="s">
        <v>585</v>
      </c>
      <c r="D55" s="25">
        <f>SUM(D51:D54)</f>
        <v>1220</v>
      </c>
      <c r="E55" s="4"/>
      <c r="F55" s="4"/>
    </row>
    <row r="56" spans="1:6" x14ac:dyDescent="0.25">
      <c r="A56" s="17"/>
      <c r="B56" s="10" t="s">
        <v>586</v>
      </c>
      <c r="C56" s="6" t="s">
        <v>587</v>
      </c>
      <c r="D56" s="25">
        <f>D50+D55</f>
        <v>16282.48</v>
      </c>
      <c r="E56" s="4"/>
      <c r="F56" s="4"/>
    </row>
    <row r="57" spans="1:6" x14ac:dyDescent="0.25">
      <c r="A57" s="4"/>
      <c r="B57" s="22" t="s">
        <v>588</v>
      </c>
      <c r="C57" s="22" t="s">
        <v>589</v>
      </c>
      <c r="D57" s="22"/>
      <c r="E57" s="22"/>
      <c r="F57" s="22"/>
    </row>
    <row r="58" spans="1:6" x14ac:dyDescent="0.25">
      <c r="A58" s="17"/>
      <c r="B58" s="4" t="s">
        <v>590</v>
      </c>
      <c r="C58" s="6" t="s">
        <v>591</v>
      </c>
      <c r="D58" s="24">
        <f>ROUND(D17*Setup!$C$5,2)</f>
        <v>2389.66</v>
      </c>
      <c r="E58" s="4"/>
      <c r="F58" s="4"/>
    </row>
    <row r="59" spans="1:6" x14ac:dyDescent="0.25">
      <c r="A59" s="17"/>
      <c r="B59" s="4" t="s">
        <v>544</v>
      </c>
      <c r="C59" s="6" t="s">
        <v>592</v>
      </c>
      <c r="D59" s="24">
        <f>ROUND(D20*Setup!$C$5,2)</f>
        <v>577.23</v>
      </c>
      <c r="E59" s="4"/>
      <c r="F59" s="4"/>
    </row>
    <row r="60" spans="1:6" x14ac:dyDescent="0.25">
      <c r="A60" s="17"/>
      <c r="B60" s="4" t="s">
        <v>546</v>
      </c>
      <c r="C60" s="6" t="s">
        <v>593</v>
      </c>
      <c r="D60" s="24">
        <f>ROUND(D21*Setup!$C$5,2)</f>
        <v>78.92</v>
      </c>
      <c r="E60" s="4"/>
      <c r="F60" s="4"/>
    </row>
    <row r="61" spans="1:6" x14ac:dyDescent="0.25">
      <c r="A61" s="17"/>
      <c r="B61" s="4" t="s">
        <v>547</v>
      </c>
      <c r="C61" s="6" t="s">
        <v>594</v>
      </c>
      <c r="D61" s="24">
        <f>ROUND(D22*Setup!$C$5,2)</f>
        <v>108.23</v>
      </c>
      <c r="E61" s="4"/>
      <c r="F61" s="4"/>
    </row>
    <row r="62" spans="1:6" x14ac:dyDescent="0.25">
      <c r="A62" s="17"/>
      <c r="B62" s="4" t="s">
        <v>551</v>
      </c>
      <c r="C62" s="6" t="s">
        <v>595</v>
      </c>
      <c r="D62" s="24">
        <f>ROUND(D25*Setup!$C$5,2)</f>
        <v>0</v>
      </c>
      <c r="E62" s="4"/>
      <c r="F62" s="4"/>
    </row>
    <row r="63" spans="1:6" x14ac:dyDescent="0.25">
      <c r="A63" s="17"/>
      <c r="B63" s="4" t="s">
        <v>552</v>
      </c>
      <c r="C63" s="6" t="s">
        <v>596</v>
      </c>
      <c r="D63" s="24">
        <f>ROUND(D26*Setup!$C$5,2)</f>
        <v>0</v>
      </c>
      <c r="E63" s="4"/>
      <c r="F63" s="4"/>
    </row>
    <row r="64" spans="1:6" x14ac:dyDescent="0.25">
      <c r="A64" s="17"/>
      <c r="B64" s="4" t="s">
        <v>553</v>
      </c>
      <c r="C64" s="6" t="s">
        <v>597</v>
      </c>
      <c r="D64" s="24">
        <f>ROUND(D27*Setup!$C$5,2)</f>
        <v>0</v>
      </c>
      <c r="E64" s="4"/>
      <c r="F64" s="4"/>
    </row>
    <row r="65" spans="1:6" x14ac:dyDescent="0.25">
      <c r="A65" s="17"/>
      <c r="B65" s="4" t="s">
        <v>554</v>
      </c>
      <c r="C65" s="6" t="s">
        <v>598</v>
      </c>
      <c r="D65" s="24">
        <f>ROUND(D28*Setup!$C$5,2)</f>
        <v>0</v>
      </c>
      <c r="E65" s="4"/>
      <c r="F65" s="4"/>
    </row>
    <row r="66" spans="1:6" x14ac:dyDescent="0.25">
      <c r="A66" s="17"/>
      <c r="B66" s="4" t="s">
        <v>555</v>
      </c>
      <c r="C66" s="6" t="s">
        <v>599</v>
      </c>
      <c r="D66" s="24">
        <f>ROUND(D29*Setup!$C$5,2)</f>
        <v>157.84</v>
      </c>
      <c r="E66" s="4"/>
      <c r="F66" s="4"/>
    </row>
    <row r="67" spans="1:6" x14ac:dyDescent="0.25">
      <c r="A67" s="17"/>
      <c r="B67" s="4" t="s">
        <v>556</v>
      </c>
      <c r="C67" s="6" t="s">
        <v>600</v>
      </c>
      <c r="D67" s="24">
        <f>ROUND(D30*Setup!$C$5,2)</f>
        <v>0</v>
      </c>
      <c r="E67" s="4"/>
      <c r="F67" s="4"/>
    </row>
    <row r="68" spans="1:6" x14ac:dyDescent="0.25">
      <c r="A68" s="17"/>
      <c r="B68" s="4" t="s">
        <v>548</v>
      </c>
      <c r="C68" s="6" t="s">
        <v>601</v>
      </c>
      <c r="D68" s="24">
        <f>ROUND(D23*Setup!$C$5,2)</f>
        <v>252.54</v>
      </c>
      <c r="E68" s="4"/>
      <c r="F68" s="4"/>
    </row>
    <row r="69" spans="1:6" x14ac:dyDescent="0.25">
      <c r="A69" s="17"/>
      <c r="B69" s="4" t="s">
        <v>550</v>
      </c>
      <c r="C69" s="6" t="s">
        <v>602</v>
      </c>
      <c r="D69" s="24">
        <f>ROUND(D24*Setup!$C$5,2)</f>
        <v>214.21</v>
      </c>
      <c r="E69" s="4"/>
      <c r="F69" s="4"/>
    </row>
    <row r="70" spans="1:6" x14ac:dyDescent="0.25">
      <c r="A70" s="17"/>
      <c r="B70" s="4" t="s">
        <v>603</v>
      </c>
      <c r="C70" s="6" t="s">
        <v>604</v>
      </c>
      <c r="D70" s="24">
        <f>(D58+D59+D61+D60)*D13+D62+D63+D64+D65+D66+D67+D68+D69</f>
        <v>13240.75</v>
      </c>
      <c r="E70" s="4"/>
      <c r="F70" s="4"/>
    </row>
    <row r="71" spans="1:6" x14ac:dyDescent="0.25">
      <c r="A71" s="17"/>
      <c r="B71" s="4" t="s">
        <v>605</v>
      </c>
      <c r="C71" s="6" t="s">
        <v>606</v>
      </c>
      <c r="D71" s="24">
        <f>D46*D13</f>
        <v>3318</v>
      </c>
      <c r="E71" s="4"/>
      <c r="F71" s="4"/>
    </row>
    <row r="72" spans="1:6" x14ac:dyDescent="0.25">
      <c r="A72" s="17"/>
      <c r="B72" s="10" t="s">
        <v>74</v>
      </c>
      <c r="C72" s="6" t="s">
        <v>607</v>
      </c>
      <c r="D72" s="25">
        <f>D70+D71</f>
        <v>16558.75</v>
      </c>
      <c r="E72" s="4"/>
      <c r="F72" s="4"/>
    </row>
    <row r="73" spans="1:6" x14ac:dyDescent="0.25">
      <c r="A73" s="17"/>
      <c r="B73" s="10" t="s">
        <v>76</v>
      </c>
      <c r="C73" s="6" t="s">
        <v>77</v>
      </c>
      <c r="D73" s="25">
        <f>D72+D55</f>
        <v>17778.75</v>
      </c>
      <c r="E73" s="4"/>
      <c r="F73" s="4"/>
    </row>
    <row r="74" spans="1:6" x14ac:dyDescent="0.25">
      <c r="A74" s="17"/>
      <c r="B74" s="4" t="s">
        <v>608</v>
      </c>
      <c r="C74" s="6" t="s">
        <v>609</v>
      </c>
      <c r="D74" s="24">
        <f>D73-D56</f>
        <v>1496.27</v>
      </c>
      <c r="E74" s="4"/>
      <c r="F74" s="4"/>
    </row>
    <row r="75" spans="1:6" x14ac:dyDescent="0.25">
      <c r="A75" s="17"/>
      <c r="B75" s="4" t="s">
        <v>610</v>
      </c>
      <c r="C75" s="6" t="s">
        <v>611</v>
      </c>
      <c r="D75" s="24">
        <f>D50+D40*D55</f>
        <v>15062.48</v>
      </c>
      <c r="E75" s="4"/>
      <c r="F75" s="4"/>
    </row>
    <row r="76" spans="1:6" x14ac:dyDescent="0.25">
      <c r="A76" s="17"/>
      <c r="B76" s="4" t="s">
        <v>612</v>
      </c>
      <c r="C76" s="6" t="s">
        <v>613</v>
      </c>
      <c r="D76" s="24">
        <f>IF(D44&gt;0,D16/D44,0)</f>
        <v>176.4</v>
      </c>
      <c r="E76" s="4"/>
      <c r="F76" s="4"/>
    </row>
    <row r="77" spans="1:6" x14ac:dyDescent="0.25">
      <c r="A77" s="17"/>
      <c r="B77" s="4" t="s">
        <v>614</v>
      </c>
      <c r="C77" s="6" t="s">
        <v>615</v>
      </c>
      <c r="D77" s="12" t="str">
        <f>IF(AND(D44&gt;0,D76&gt;D14),"YES","No")</f>
        <v>No</v>
      </c>
      <c r="E77" s="4"/>
      <c r="F77" s="4"/>
    </row>
    <row r="78" spans="1:6" x14ac:dyDescent="0.25">
      <c r="A78" s="17"/>
      <c r="B78" s="4" t="s">
        <v>616</v>
      </c>
      <c r="C78" s="6" t="s">
        <v>617</v>
      </c>
      <c r="D78" s="24">
        <f>IF(D44&gt;0,D17/D44,0)</f>
        <v>211.962</v>
      </c>
      <c r="E78" s="4"/>
      <c r="F78" s="4"/>
    </row>
    <row r="79" spans="1:6" x14ac:dyDescent="0.25">
      <c r="A79" s="17"/>
      <c r="B79" s="4" t="s">
        <v>618</v>
      </c>
      <c r="C79" s="6" t="s">
        <v>619</v>
      </c>
      <c r="D79" s="24">
        <f>ROUND(D16+D18+D19-D17,2)</f>
        <v>0</v>
      </c>
      <c r="E79" s="4"/>
      <c r="F79" s="4"/>
    </row>
    <row r="80" spans="1:6" x14ac:dyDescent="0.25">
      <c r="A80" s="17"/>
      <c r="B80" s="4" t="s">
        <v>620</v>
      </c>
      <c r="C80" s="6" t="s">
        <v>621</v>
      </c>
      <c r="D80" s="24">
        <f>D46+D58+D59+D61+D60</f>
        <v>3983.54</v>
      </c>
      <c r="E80" s="4"/>
      <c r="F80" s="4"/>
    </row>
    <row r="82" spans="1:13" x14ac:dyDescent="0.25">
      <c r="A82" s="3" t="s">
        <v>622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6" x14ac:dyDescent="0.25">
      <c r="A83" s="16" t="s">
        <v>517</v>
      </c>
      <c r="B83" s="16" t="s">
        <v>518</v>
      </c>
      <c r="C83" s="16" t="s">
        <v>519</v>
      </c>
      <c r="D83" s="16" t="s">
        <v>804</v>
      </c>
      <c r="E83" s="16" t="s">
        <v>624</v>
      </c>
      <c r="F83" s="16" t="s">
        <v>625</v>
      </c>
    </row>
    <row r="84" spans="1:6" x14ac:dyDescent="0.25">
      <c r="A84" s="17" t="s">
        <v>626</v>
      </c>
      <c r="B84" s="4" t="s">
        <v>61</v>
      </c>
      <c r="C84" s="6" t="s">
        <v>627</v>
      </c>
      <c r="D84" s="18">
        <f>D44</f>
        <v>10</v>
      </c>
      <c r="E84" s="26"/>
      <c r="F84" s="27" t="str">
        <f>IF(E84="","",IF(ABS(E84-D84)&lt;=Setup!$C$6,"PASS","FAIL"))</f>
        <v/>
      </c>
    </row>
    <row r="85" spans="1:6" x14ac:dyDescent="0.25">
      <c r="A85" s="17" t="s">
        <v>628</v>
      </c>
      <c r="B85" s="4" t="s">
        <v>571</v>
      </c>
      <c r="C85" s="6" t="s">
        <v>627</v>
      </c>
      <c r="D85" s="18">
        <f>D45</f>
        <v>9</v>
      </c>
      <c r="E85" s="26"/>
      <c r="F85" s="27" t="str">
        <f>IF(E85="","",IF(ABS(E85-D85)&lt;=Setup!$C$6,"PASS","FAIL"))</f>
        <v/>
      </c>
    </row>
    <row r="86" spans="1:6" x14ac:dyDescent="0.25">
      <c r="A86" s="17" t="s">
        <v>629</v>
      </c>
      <c r="B86" s="4" t="s">
        <v>630</v>
      </c>
      <c r="C86" s="6" t="s">
        <v>627</v>
      </c>
      <c r="D86" s="24">
        <f>D46</f>
        <v>829.5</v>
      </c>
      <c r="E86" s="28"/>
      <c r="F86" s="27" t="str">
        <f>IF(E86="","",IF(ABS(E86-D86)&lt;=Setup!$C$6,"PASS","FAIL"))</f>
        <v/>
      </c>
    </row>
    <row r="87" spans="1:6" x14ac:dyDescent="0.25">
      <c r="A87" s="17" t="s">
        <v>631</v>
      </c>
      <c r="B87" s="4" t="s">
        <v>66</v>
      </c>
      <c r="C87" s="6" t="s">
        <v>627</v>
      </c>
      <c r="D87" s="24">
        <f>D48</f>
        <v>3627.12</v>
      </c>
      <c r="E87" s="28"/>
      <c r="F87" s="27" t="str">
        <f>IF(E87="","",IF(ABS(E87-D87)&lt;=Setup!$C$6,"PASS","FAIL"))</f>
        <v/>
      </c>
    </row>
    <row r="88" spans="1:6" x14ac:dyDescent="0.25">
      <c r="A88" s="17" t="s">
        <v>632</v>
      </c>
      <c r="B88" s="4" t="s">
        <v>68</v>
      </c>
      <c r="C88" s="6" t="s">
        <v>627</v>
      </c>
      <c r="D88" s="24">
        <f>D50</f>
        <v>15062.48</v>
      </c>
      <c r="E88" s="28"/>
      <c r="F88" s="27" t="str">
        <f>IF(E88="","",IF(ABS(E88-D88)&lt;=Setup!$C$6,"PASS","FAIL"))</f>
        <v/>
      </c>
    </row>
    <row r="89" spans="1:6" x14ac:dyDescent="0.25">
      <c r="A89" s="17" t="s">
        <v>633</v>
      </c>
      <c r="B89" s="4" t="s">
        <v>634</v>
      </c>
      <c r="C89" s="6" t="s">
        <v>635</v>
      </c>
      <c r="D89" s="24">
        <f>D75</f>
        <v>15062.48</v>
      </c>
      <c r="E89" s="28"/>
      <c r="F89" s="27" t="str">
        <f>IF(E89="","",IF(ABS(E89-D89)&lt;=Setup!$C$6,"PASS","FAIL"))</f>
        <v/>
      </c>
    </row>
    <row r="90" spans="1:6" x14ac:dyDescent="0.25">
      <c r="A90" s="17" t="s">
        <v>636</v>
      </c>
      <c r="B90" s="4" t="s">
        <v>66</v>
      </c>
      <c r="C90" s="6" t="s">
        <v>88</v>
      </c>
      <c r="D90" s="24">
        <f>D48</f>
        <v>3627.12</v>
      </c>
      <c r="E90" s="28"/>
      <c r="F90" s="27" t="str">
        <f>IF(E90="","",IF(ABS(E90-D90)&lt;=Setup!$C$6,"PASS","FAIL"))</f>
        <v/>
      </c>
    </row>
    <row r="91" spans="1:6" x14ac:dyDescent="0.25">
      <c r="A91" s="17" t="s">
        <v>637</v>
      </c>
      <c r="B91" s="4" t="s">
        <v>68</v>
      </c>
      <c r="C91" s="6" t="s">
        <v>88</v>
      </c>
      <c r="D91" s="24">
        <f>D50</f>
        <v>15062.48</v>
      </c>
      <c r="E91" s="28"/>
      <c r="F91" s="27" t="str">
        <f>IF(E91="","",IF(ABS(E91-D91)&lt;=Setup!$C$6,"PASS","FAIL"))</f>
        <v/>
      </c>
    </row>
    <row r="92" spans="1:6" x14ac:dyDescent="0.25">
      <c r="A92" s="17" t="s">
        <v>638</v>
      </c>
      <c r="B92" s="4" t="s">
        <v>71</v>
      </c>
      <c r="C92" s="6" t="s">
        <v>639</v>
      </c>
      <c r="D92" s="24">
        <f>D55</f>
        <v>1220</v>
      </c>
      <c r="E92" s="28"/>
      <c r="F92" s="27" t="str">
        <f>IF(E92="","",IF(ABS(E92-D92)&lt;=Setup!$C$6,"PASS","FAIL"))</f>
        <v/>
      </c>
    </row>
    <row r="93" spans="1:6" x14ac:dyDescent="0.25">
      <c r="A93" s="17" t="s">
        <v>640</v>
      </c>
      <c r="B93" s="4" t="s">
        <v>586</v>
      </c>
      <c r="C93" s="6" t="s">
        <v>88</v>
      </c>
      <c r="D93" s="24">
        <f>D56</f>
        <v>16282.48</v>
      </c>
      <c r="E93" s="28"/>
      <c r="F93" s="27" t="str">
        <f>IF(E93="","",IF(ABS(E93-D93)&lt;=Setup!$C$6,"PASS","FAIL"))</f>
        <v/>
      </c>
    </row>
    <row r="94" spans="1:6" x14ac:dyDescent="0.25">
      <c r="A94" s="17" t="s">
        <v>641</v>
      </c>
      <c r="B94" s="4" t="s">
        <v>74</v>
      </c>
      <c r="C94" s="6" t="s">
        <v>88</v>
      </c>
      <c r="D94" s="24">
        <f>D72</f>
        <v>16558.75</v>
      </c>
      <c r="E94" s="28"/>
      <c r="F94" s="27" t="str">
        <f>IF(E94="","",IF(ABS(E94-D94)&lt;=Setup!$C$6,"PASS","FAIL"))</f>
        <v/>
      </c>
    </row>
    <row r="95" spans="1:6" x14ac:dyDescent="0.25">
      <c r="A95" s="17" t="s">
        <v>642</v>
      </c>
      <c r="B95" s="4" t="s">
        <v>76</v>
      </c>
      <c r="C95" s="6" t="s">
        <v>88</v>
      </c>
      <c r="D95" s="24">
        <f>D73</f>
        <v>17778.75</v>
      </c>
      <c r="E95" s="28"/>
      <c r="F95" s="27" t="str">
        <f>IF(E95="","",IF(ABS(E95-D95)&lt;=Setup!$C$6,"PASS","FAIL"))</f>
        <v/>
      </c>
    </row>
    <row r="96" spans="1:6" x14ac:dyDescent="0.25">
      <c r="A96" s="17" t="s">
        <v>759</v>
      </c>
      <c r="B96" s="4" t="s">
        <v>580</v>
      </c>
      <c r="C96" s="6" t="s">
        <v>760</v>
      </c>
      <c r="D96" s="24">
        <f>D51</f>
        <v>440</v>
      </c>
      <c r="E96" s="28"/>
      <c r="F96" s="27" t="str">
        <f>IF(E96="","",IF(ABS(E96-D96)&lt;=Setup!$C$6,"PASS","FAIL"))</f>
        <v/>
      </c>
    </row>
    <row r="97" spans="1:6" x14ac:dyDescent="0.25">
      <c r="A97" s="17" t="s">
        <v>805</v>
      </c>
      <c r="B97" s="4" t="s">
        <v>583</v>
      </c>
      <c r="C97" s="6" t="s">
        <v>760</v>
      </c>
      <c r="D97" s="24">
        <f>D53</f>
        <v>780</v>
      </c>
      <c r="E97" s="28"/>
      <c r="F97" s="27" t="str">
        <f>IF(E97="","",IF(ABS(E97-D97)&lt;=Setup!$C$6,"PASS","FAIL"))</f>
        <v/>
      </c>
    </row>
    <row r="98" spans="1:6" x14ac:dyDescent="0.25">
      <c r="A98" s="17" t="s">
        <v>643</v>
      </c>
      <c r="B98" s="4" t="s">
        <v>644</v>
      </c>
      <c r="C98" s="6" t="s">
        <v>645</v>
      </c>
      <c r="D98" s="24">
        <f>D58</f>
        <v>2389.66</v>
      </c>
      <c r="E98" s="28"/>
      <c r="F98" s="27" t="str">
        <f>IF(E98="","",IF(ABS(E98-D98)&lt;=Setup!$C$6,"PASS","FAIL"))</f>
        <v/>
      </c>
    </row>
    <row r="99" spans="1:6" x14ac:dyDescent="0.25">
      <c r="A99" s="17" t="s">
        <v>761</v>
      </c>
      <c r="B99" s="4" t="s">
        <v>762</v>
      </c>
      <c r="C99" s="6" t="s">
        <v>645</v>
      </c>
      <c r="D99" s="24">
        <f>D59</f>
        <v>577.23</v>
      </c>
      <c r="E99" s="28"/>
      <c r="F99" s="27" t="str">
        <f>IF(E99="","",IF(ABS(E99-D99)&lt;=Setup!$C$6,"PASS","FAIL"))</f>
        <v/>
      </c>
    </row>
    <row r="100" spans="1:6" x14ac:dyDescent="0.25">
      <c r="A100" s="17" t="s">
        <v>792</v>
      </c>
      <c r="B100" s="4" t="s">
        <v>793</v>
      </c>
      <c r="C100" s="6" t="s">
        <v>645</v>
      </c>
      <c r="D100" s="24">
        <f>D60</f>
        <v>78.92</v>
      </c>
      <c r="E100" s="28"/>
      <c r="F100" s="27" t="str">
        <f>IF(E100="","",IF(ABS(E100-D100)&lt;=Setup!$C$6,"PASS","FAIL"))</f>
        <v/>
      </c>
    </row>
    <row r="101" spans="1:6" x14ac:dyDescent="0.25">
      <c r="A101" s="17" t="s">
        <v>763</v>
      </c>
      <c r="B101" s="4" t="s">
        <v>764</v>
      </c>
      <c r="C101" s="6" t="s">
        <v>645</v>
      </c>
      <c r="D101" s="24">
        <f>D61</f>
        <v>108.23</v>
      </c>
      <c r="E101" s="28"/>
      <c r="F101" s="27" t="str">
        <f>IF(E101="","",IF(ABS(E101-D101)&lt;=Setup!$C$6,"PASS","FAIL"))</f>
        <v/>
      </c>
    </row>
    <row r="102" spans="1:6" x14ac:dyDescent="0.25">
      <c r="A102" s="17" t="s">
        <v>794</v>
      </c>
      <c r="B102" s="4" t="s">
        <v>795</v>
      </c>
      <c r="C102" s="6" t="s">
        <v>645</v>
      </c>
      <c r="D102" s="24">
        <f>D66</f>
        <v>157.84</v>
      </c>
      <c r="E102" s="28"/>
      <c r="F102" s="27" t="str">
        <f>IF(E102="","",IF(ABS(E102-D102)&lt;=Setup!$C$6,"PASS","FAIL"))</f>
        <v/>
      </c>
    </row>
    <row r="103" spans="1:6" x14ac:dyDescent="0.25">
      <c r="A103" s="17" t="s">
        <v>767</v>
      </c>
      <c r="B103" s="4" t="s">
        <v>768</v>
      </c>
      <c r="C103" s="6" t="s">
        <v>645</v>
      </c>
      <c r="D103" s="24">
        <f>D68</f>
        <v>252.54</v>
      </c>
      <c r="E103" s="28"/>
      <c r="F103" s="27" t="str">
        <f>IF(E103="","",IF(ABS(E103-D103)&lt;=Setup!$C$6,"PASS","FAIL"))</f>
        <v/>
      </c>
    </row>
    <row r="104" spans="1:6" x14ac:dyDescent="0.25">
      <c r="A104" s="17" t="s">
        <v>769</v>
      </c>
      <c r="B104" s="4" t="s">
        <v>770</v>
      </c>
      <c r="C104" s="6" t="s">
        <v>645</v>
      </c>
      <c r="D104" s="24">
        <f>D69</f>
        <v>214.21</v>
      </c>
      <c r="E104" s="28"/>
      <c r="F104" s="27" t="str">
        <f>IF(E104="","",IF(ABS(E104-D104)&lt;=Setup!$C$6,"PASS","FAIL"))</f>
        <v/>
      </c>
    </row>
    <row r="105" spans="1:6" x14ac:dyDescent="0.25">
      <c r="A105" s="17" t="s">
        <v>654</v>
      </c>
      <c r="B105" s="4" t="s">
        <v>655</v>
      </c>
      <c r="C105" s="6" t="s">
        <v>656</v>
      </c>
      <c r="D105" s="24">
        <f>D56</f>
        <v>16282.48</v>
      </c>
      <c r="E105" s="28"/>
      <c r="F105" s="27" t="str">
        <f>IF(E105="","",IF(ABS(E105-D105)&lt;=Setup!$C$6,"PASS","FAIL"))</f>
        <v/>
      </c>
    </row>
    <row r="106" spans="1:6" x14ac:dyDescent="0.25">
      <c r="A106" s="17" t="s">
        <v>657</v>
      </c>
      <c r="B106" s="4" t="s">
        <v>658</v>
      </c>
      <c r="C106" s="6" t="s">
        <v>659</v>
      </c>
      <c r="D106" s="24">
        <f>D73</f>
        <v>17778.75</v>
      </c>
      <c r="E106" s="28"/>
      <c r="F106" s="27" t="str">
        <f>IF(E106="","",IF(ABS(E106-D106)&lt;=Setup!$C$6,"PASS","FAIL"))</f>
        <v/>
      </c>
    </row>
    <row r="107" spans="1:6" x14ac:dyDescent="0.25">
      <c r="A107" s="17" t="s">
        <v>660</v>
      </c>
      <c r="B107" s="4" t="s">
        <v>66</v>
      </c>
      <c r="C107" s="6" t="s">
        <v>93</v>
      </c>
      <c r="D107" s="24">
        <f>D80</f>
        <v>3983.54</v>
      </c>
      <c r="E107" s="28"/>
      <c r="F107" s="27" t="str">
        <f>IF(E107="","",IF(ABS(E107-D107)&lt;=Setup!$C$6,"PASS","FAIL"))</f>
        <v/>
      </c>
    </row>
    <row r="108" spans="1:6" x14ac:dyDescent="0.25">
      <c r="A108" s="17" t="s">
        <v>661</v>
      </c>
      <c r="B108" s="4" t="s">
        <v>68</v>
      </c>
      <c r="C108" s="6" t="s">
        <v>93</v>
      </c>
      <c r="D108" s="24">
        <f>D72</f>
        <v>16558.75</v>
      </c>
      <c r="E108" s="28"/>
      <c r="F108" s="27" t="str">
        <f>IF(E108="","",IF(ABS(E108-D108)&lt;=Setup!$C$6,"PASS","FAIL"))</f>
        <v/>
      </c>
    </row>
    <row r="109" spans="1:6" x14ac:dyDescent="0.25">
      <c r="A109" s="17" t="s">
        <v>662</v>
      </c>
      <c r="B109" s="4" t="s">
        <v>71</v>
      </c>
      <c r="C109" s="6" t="s">
        <v>93</v>
      </c>
      <c r="D109" s="24">
        <f>D55</f>
        <v>1220</v>
      </c>
      <c r="E109" s="28"/>
      <c r="F109" s="27" t="str">
        <f>IF(E109="","",IF(ABS(E109-D109)&lt;=Setup!$C$6,"PASS","FAIL"))</f>
        <v/>
      </c>
    </row>
    <row r="110" spans="1:6" x14ac:dyDescent="0.25">
      <c r="A110" s="17" t="s">
        <v>663</v>
      </c>
      <c r="B110" s="4" t="s">
        <v>664</v>
      </c>
      <c r="C110" s="6" t="s">
        <v>93</v>
      </c>
      <c r="D110" s="24">
        <f>D73</f>
        <v>17778.75</v>
      </c>
      <c r="E110" s="28"/>
      <c r="F110" s="27" t="str">
        <f>IF(E110="","",IF(ABS(E110-D110)&lt;=Setup!$C$6,"PASS","FAIL"))</f>
        <v/>
      </c>
    </row>
    <row r="111" spans="1:6" x14ac:dyDescent="0.25">
      <c r="A111" s="17" t="s">
        <v>665</v>
      </c>
      <c r="B111" s="4" t="s">
        <v>666</v>
      </c>
      <c r="C111" s="6" t="s">
        <v>667</v>
      </c>
      <c r="D111" s="24">
        <f>D76</f>
        <v>176.4</v>
      </c>
      <c r="E111" s="28"/>
      <c r="F111" s="27" t="str">
        <f>IF(E111="","",IF(ABS(E111-D111)&lt;=Setup!$C$6,"PASS","FAIL"))</f>
        <v/>
      </c>
    </row>
    <row r="112" spans="1:6" x14ac:dyDescent="0.25">
      <c r="A112" s="17" t="s">
        <v>668</v>
      </c>
      <c r="B112" s="4" t="s">
        <v>669</v>
      </c>
      <c r="C112" s="6" t="s">
        <v>83</v>
      </c>
      <c r="D112" s="12" t="str">
        <f>D77</f>
        <v>No</v>
      </c>
      <c r="E112" s="9"/>
      <c r="F112" s="27" t="str">
        <f>IF(E112="","",IF(UPPER(E112)=UPPER(D112),"PASS","FAIL"))</f>
        <v/>
      </c>
    </row>
    <row r="113" spans="1:6" x14ac:dyDescent="0.25">
      <c r="A113" s="17" t="s">
        <v>670</v>
      </c>
      <c r="B113" s="4" t="s">
        <v>616</v>
      </c>
      <c r="C113" s="6" t="s">
        <v>671</v>
      </c>
      <c r="D113" s="24">
        <f>D78</f>
        <v>211.962</v>
      </c>
      <c r="E113" s="15"/>
      <c r="F113" s="15" t="s">
        <v>672</v>
      </c>
    </row>
    <row r="114" spans="2:2" x14ac:dyDescent="0.25">
      <c r="B114" s="2" t="s">
        <v>673</v>
      </c>
    </row>
    <row r="116" spans="1:13" x14ac:dyDescent="0.25">
      <c r="A116" s="3" t="s">
        <v>806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spans="1:6" x14ac:dyDescent="0.25">
      <c r="A117" s="16" t="s">
        <v>517</v>
      </c>
      <c r="B117" s="16" t="s">
        <v>675</v>
      </c>
      <c r="C117" s="16" t="s">
        <v>676</v>
      </c>
      <c r="D117" s="16" t="s">
        <v>677</v>
      </c>
      <c r="E117" s="16" t="s">
        <v>624</v>
      </c>
      <c r="F117" s="16" t="s">
        <v>625</v>
      </c>
    </row>
    <row r="118" spans="1:6" x14ac:dyDescent="0.25">
      <c r="A118" s="17"/>
      <c r="B118" s="4" t="s">
        <v>678</v>
      </c>
      <c r="C118" s="6" t="s">
        <v>679</v>
      </c>
      <c r="D118" s="20">
        <v>46357</v>
      </c>
      <c r="E118" s="4"/>
      <c r="F118" s="4"/>
    </row>
    <row r="119" spans="1:6" x14ac:dyDescent="0.25">
      <c r="A119" s="17"/>
      <c r="B119" s="4" t="s">
        <v>680</v>
      </c>
      <c r="C119" s="6"/>
      <c r="D119" s="20">
        <v>46366</v>
      </c>
      <c r="E119" s="4"/>
      <c r="F119" s="4"/>
    </row>
    <row r="120" spans="1:6" x14ac:dyDescent="0.25">
      <c r="A120" s="17"/>
      <c r="B120" s="4" t="s">
        <v>681</v>
      </c>
      <c r="C120" s="6" t="s">
        <v>682</v>
      </c>
      <c r="D120" s="21">
        <v>4</v>
      </c>
      <c r="E120" s="4"/>
      <c r="F120" s="4"/>
    </row>
    <row r="121" spans="1:6" x14ac:dyDescent="0.25">
      <c r="A121" s="17"/>
      <c r="B121" s="4" t="s">
        <v>537</v>
      </c>
      <c r="C121" s="6" t="s">
        <v>682</v>
      </c>
      <c r="D121" s="7">
        <v>79</v>
      </c>
      <c r="E121" s="4"/>
      <c r="F121" s="4"/>
    </row>
    <row r="123" spans="1:13" x14ac:dyDescent="0.25">
      <c r="A123" s="16" t="s">
        <v>517</v>
      </c>
      <c r="B123" s="16" t="s">
        <v>683</v>
      </c>
      <c r="C123" s="16" t="s">
        <v>684</v>
      </c>
      <c r="D123" s="16" t="s">
        <v>685</v>
      </c>
      <c r="E123" s="16" t="s">
        <v>686</v>
      </c>
      <c r="F123" s="16" t="s">
        <v>687</v>
      </c>
      <c r="G123" s="16" t="s">
        <v>688</v>
      </c>
      <c r="H123" s="16" t="s">
        <v>689</v>
      </c>
      <c r="I123" s="16" t="s">
        <v>690</v>
      </c>
      <c r="J123" s="16" t="s">
        <v>691</v>
      </c>
      <c r="K123" s="16" t="s">
        <v>692</v>
      </c>
      <c r="L123" s="16" t="s">
        <v>625</v>
      </c>
      <c r="M123" s="16" t="s">
        <v>693</v>
      </c>
    </row>
    <row r="124" spans="1:13" x14ac:dyDescent="0.25">
      <c r="A124" s="17" t="s">
        <v>694</v>
      </c>
      <c r="B124" s="4" t="s">
        <v>695</v>
      </c>
      <c r="C124" s="12" t="str">
        <f>IF(D124&gt;0,"Main Actual Costs grid",IF(E124&gt;0,"Additional Expenses section","Not shown on the form"))</f>
        <v>Main Actual Costs grid</v>
      </c>
      <c r="D124" s="24">
        <f>D17</f>
        <v>2119.62</v>
      </c>
      <c r="E124" s="7">
        <v>2205.4</v>
      </c>
      <c r="F124" s="29">
        <f>E124-D124</f>
        <v>85.78</v>
      </c>
      <c r="G124" s="30">
        <f>IF(D124&gt;0,(E124-D124)/D124,0)</f>
        <v>0.040469518121</v>
      </c>
      <c r="H124" s="17" t="str">
        <f>IF(AND(D124&gt;0,E124&gt;D124*1.1),"Y","N")</f>
        <v>N</v>
      </c>
      <c r="I124" s="17" t="str">
        <f>IF(AND(D124=0,E124&gt;0),"Y","N")</f>
        <v>N</v>
      </c>
      <c r="J124" s="17" t="str">
        <f>IF(OR(H124="Y",I124="Y"),"Y","N")</f>
        <v>N</v>
      </c>
      <c r="K124" s="9"/>
      <c r="L124" s="27" t="str">
        <f>IF(LEFT(C124,3)="Not","n/a",IF(K124="","",IF(UPPER(K124)=J124,"PASS","FAIL")))</f>
        <v/>
      </c>
      <c r="M124" s="9"/>
    </row>
    <row r="125" spans="1:13" x14ac:dyDescent="0.25">
      <c r="A125" s="17" t="s">
        <v>696</v>
      </c>
      <c r="B125" s="4" t="s">
        <v>544</v>
      </c>
      <c r="C125" s="12" t="str">
        <f>IF(D125&gt;0,"Main Actual Costs grid",IF(E125&gt;0,"Additional Expenses section","Not shown on the form"))</f>
        <v>Main Actual Costs grid</v>
      </c>
      <c r="D125" s="24">
        <f>D20</f>
        <v>512</v>
      </c>
      <c r="E125" s="7">
        <v>548</v>
      </c>
      <c r="F125" s="29">
        <f>E125-D125</f>
        <v>36</v>
      </c>
      <c r="G125" s="30">
        <f>IF(D125&gt;0,(E125-D125)/D125,0)</f>
        <v>0.0703125</v>
      </c>
      <c r="H125" s="17" t="str">
        <f>IF(AND(D125&gt;0,E125&gt;D125*1.1),"Y","N")</f>
        <v>N</v>
      </c>
      <c r="I125" s="17" t="str">
        <f>IF(AND(D125=0,E125&gt;0),"Y","N")</f>
        <v>N</v>
      </c>
      <c r="J125" s="17" t="str">
        <f>IF(OR(H125="Y",I125="Y"),"Y","N")</f>
        <v>N</v>
      </c>
      <c r="K125" s="9"/>
      <c r="L125" s="27" t="str">
        <f>IF(LEFT(C125,3)="Not","n/a",IF(K125="","",IF(UPPER(K125)=J125,"PASS","FAIL")))</f>
        <v/>
      </c>
      <c r="M125" s="9"/>
    </row>
    <row r="126" spans="1:13" x14ac:dyDescent="0.25">
      <c r="A126" s="17" t="s">
        <v>697</v>
      </c>
      <c r="B126" s="4" t="s">
        <v>546</v>
      </c>
      <c r="C126" s="12" t="str">
        <f>IF(D126&gt;0,"Main Actual Costs grid",IF(E126&gt;0,"Additional Expenses section","Not shown on the form"))</f>
        <v>Main Actual Costs grid</v>
      </c>
      <c r="D126" s="24">
        <f>D21</f>
        <v>70</v>
      </c>
      <c r="E126" s="7">
        <v>70</v>
      </c>
      <c r="F126" s="29">
        <f>E126-D126</f>
        <v>0</v>
      </c>
      <c r="G126" s="30">
        <f>IF(D126&gt;0,(E126-D126)/D126,0)</f>
        <v>0</v>
      </c>
      <c r="H126" s="17" t="str">
        <f>IF(AND(D126&gt;0,E126&gt;D126*1.1),"Y","N")</f>
        <v>N</v>
      </c>
      <c r="I126" s="17" t="str">
        <f>IF(AND(D126=0,E126&gt;0),"Y","N")</f>
        <v>N</v>
      </c>
      <c r="J126" s="17" t="str">
        <f>IF(OR(H126="Y",I126="Y"),"Y","N")</f>
        <v>N</v>
      </c>
      <c r="K126" s="9"/>
      <c r="L126" s="27" t="str">
        <f>IF(LEFT(C126,3)="Not","n/a",IF(K126="","",IF(UPPER(K126)=J126,"PASS","FAIL")))</f>
        <v/>
      </c>
      <c r="M126" s="9"/>
    </row>
    <row r="127" spans="1:13" x14ac:dyDescent="0.25">
      <c r="A127" s="17" t="s">
        <v>698</v>
      </c>
      <c r="B127" s="4" t="s">
        <v>547</v>
      </c>
      <c r="C127" s="12" t="str">
        <f>IF(D127&gt;0,"Main Actual Costs grid",IF(E127&gt;0,"Additional Expenses section","Not shown on the form"))</f>
        <v>Main Actual Costs grid</v>
      </c>
      <c r="D127" s="24">
        <f>D22</f>
        <v>96</v>
      </c>
      <c r="E127" s="7">
        <v>96</v>
      </c>
      <c r="F127" s="29">
        <f>E127-D127</f>
        <v>0</v>
      </c>
      <c r="G127" s="30">
        <f>IF(D127&gt;0,(E127-D127)/D127,0)</f>
        <v>0</v>
      </c>
      <c r="H127" s="17" t="str">
        <f>IF(AND(D127&gt;0,E127&gt;D127*1.1),"Y","N")</f>
        <v>N</v>
      </c>
      <c r="I127" s="17" t="str">
        <f>IF(AND(D127=0,E127&gt;0),"Y","N")</f>
        <v>N</v>
      </c>
      <c r="J127" s="17" t="str">
        <f>IF(OR(H127="Y",I127="Y"),"Y","N")</f>
        <v>N</v>
      </c>
      <c r="K127" s="9"/>
      <c r="L127" s="27" t="str">
        <f>IF(LEFT(C127,3)="Not","n/a",IF(K127="","",IF(UPPER(K127)=J127,"PASS","FAIL")))</f>
        <v/>
      </c>
      <c r="M127" s="9"/>
    </row>
    <row r="128" spans="1:13" x14ac:dyDescent="0.25">
      <c r="A128" s="17" t="s">
        <v>699</v>
      </c>
      <c r="B128" s="4" t="s">
        <v>551</v>
      </c>
      <c r="C128" s="12" t="str">
        <f>IF(D128&gt;0,"Main Actual Costs grid",IF(E128&gt;0,"Additional Expenses section","Not shown on the form"))</f>
        <v>Not shown on the form</v>
      </c>
      <c r="D128" s="24">
        <f>D25</f>
        <v>0</v>
      </c>
      <c r="E128" s="7">
        <v>0</v>
      </c>
      <c r="F128" s="29">
        <f>E128-D128</f>
        <v>0</v>
      </c>
      <c r="G128" s="30">
        <f>IF(D128&gt;0,(E128-D128)/D128,0)</f>
        <v>0</v>
      </c>
      <c r="H128" s="17" t="str">
        <f>IF(AND(D128&gt;0,E128&gt;D128*1.1),"Y","N")</f>
        <v>N</v>
      </c>
      <c r="I128" s="17" t="str">
        <f>IF(AND(D128=0,E128&gt;0),"Y","N")</f>
        <v>N</v>
      </c>
      <c r="J128" s="17" t="str">
        <f>IF(OR(H128="Y",I128="Y"),"Y","N")</f>
        <v>N</v>
      </c>
      <c r="K128" s="9"/>
      <c r="L128" s="27" t="str">
        <f>IF(LEFT(C128,3)="Not","n/a",IF(K128="","",IF(UPPER(K128)=J128,"PASS","FAIL")))</f>
        <v>n/a</v>
      </c>
      <c r="M128" s="9"/>
    </row>
    <row r="129" spans="1:13" x14ac:dyDescent="0.25">
      <c r="A129" s="17" t="s">
        <v>700</v>
      </c>
      <c r="B129" s="4" t="s">
        <v>552</v>
      </c>
      <c r="C129" s="12" t="str">
        <f>IF(D129&gt;0,"Main Actual Costs grid",IF(E129&gt;0,"Additional Expenses section","Not shown on the form"))</f>
        <v>Not shown on the form</v>
      </c>
      <c r="D129" s="24">
        <f>D26</f>
        <v>0</v>
      </c>
      <c r="E129" s="7">
        <v>0</v>
      </c>
      <c r="F129" s="29">
        <f>E129-D129</f>
        <v>0</v>
      </c>
      <c r="G129" s="30">
        <f>IF(D129&gt;0,(E129-D129)/D129,0)</f>
        <v>0</v>
      </c>
      <c r="H129" s="17" t="str">
        <f>IF(AND(D129&gt;0,E129&gt;D129*1.1),"Y","N")</f>
        <v>N</v>
      </c>
      <c r="I129" s="17" t="str">
        <f>IF(AND(D129=0,E129&gt;0),"Y","N")</f>
        <v>N</v>
      </c>
      <c r="J129" s="17" t="str">
        <f>IF(OR(H129="Y",I129="Y"),"Y","N")</f>
        <v>N</v>
      </c>
      <c r="K129" s="9"/>
      <c r="L129" s="27" t="str">
        <f>IF(LEFT(C129,3)="Not","n/a",IF(K129="","",IF(UPPER(K129)=J129,"PASS","FAIL")))</f>
        <v>n/a</v>
      </c>
      <c r="M129" s="9"/>
    </row>
    <row r="130" spans="1:13" x14ac:dyDescent="0.25">
      <c r="A130" s="17" t="s">
        <v>701</v>
      </c>
      <c r="B130" s="4" t="s">
        <v>553</v>
      </c>
      <c r="C130" s="12" t="str">
        <f>IF(D130&gt;0,"Main Actual Costs grid",IF(E130&gt;0,"Additional Expenses section","Not shown on the form"))</f>
        <v>Not shown on the form</v>
      </c>
      <c r="D130" s="24">
        <f>D27</f>
        <v>0</v>
      </c>
      <c r="E130" s="7">
        <v>0</v>
      </c>
      <c r="F130" s="29">
        <f>E130-D130</f>
        <v>0</v>
      </c>
      <c r="G130" s="30">
        <f>IF(D130&gt;0,(E130-D130)/D130,0)</f>
        <v>0</v>
      </c>
      <c r="H130" s="17" t="str">
        <f>IF(AND(D130&gt;0,E130&gt;D130*1.1),"Y","N")</f>
        <v>N</v>
      </c>
      <c r="I130" s="17" t="str">
        <f>IF(AND(D130=0,E130&gt;0),"Y","N")</f>
        <v>N</v>
      </c>
      <c r="J130" s="17" t="str">
        <f>IF(OR(H130="Y",I130="Y"),"Y","N")</f>
        <v>N</v>
      </c>
      <c r="K130" s="9"/>
      <c r="L130" s="27" t="str">
        <f>IF(LEFT(C130,3)="Not","n/a",IF(K130="","",IF(UPPER(K130)=J130,"PASS","FAIL")))</f>
        <v>n/a</v>
      </c>
      <c r="M130" s="9"/>
    </row>
    <row r="131" spans="1:13" x14ac:dyDescent="0.25">
      <c r="A131" s="17" t="s">
        <v>702</v>
      </c>
      <c r="B131" s="4" t="s">
        <v>554</v>
      </c>
      <c r="C131" s="12" t="str">
        <f>IF(D131&gt;0,"Main Actual Costs grid",IF(E131&gt;0,"Additional Expenses section","Not shown on the form"))</f>
        <v>Not shown on the form</v>
      </c>
      <c r="D131" s="24">
        <f>D28</f>
        <v>0</v>
      </c>
      <c r="E131" s="7">
        <v>0</v>
      </c>
      <c r="F131" s="29">
        <f>E131-D131</f>
        <v>0</v>
      </c>
      <c r="G131" s="30">
        <f>IF(D131&gt;0,(E131-D131)/D131,0)</f>
        <v>0</v>
      </c>
      <c r="H131" s="17" t="str">
        <f>IF(AND(D131&gt;0,E131&gt;D131*1.1),"Y","N")</f>
        <v>N</v>
      </c>
      <c r="I131" s="17" t="str">
        <f>IF(AND(D131=0,E131&gt;0),"Y","N")</f>
        <v>N</v>
      </c>
      <c r="J131" s="17" t="str">
        <f>IF(OR(H131="Y",I131="Y"),"Y","N")</f>
        <v>N</v>
      </c>
      <c r="K131" s="9"/>
      <c r="L131" s="27" t="str">
        <f>IF(LEFT(C131,3)="Not","n/a",IF(K131="","",IF(UPPER(K131)=J131,"PASS","FAIL")))</f>
        <v>n/a</v>
      </c>
      <c r="M131" s="9"/>
    </row>
    <row r="132" spans="1:13" x14ac:dyDescent="0.25">
      <c r="A132" s="17" t="s">
        <v>703</v>
      </c>
      <c r="B132" s="4" t="s">
        <v>555</v>
      </c>
      <c r="C132" s="12" t="str">
        <f>IF(D132&gt;0,"Main Actual Costs grid",IF(E132&gt;0,"Additional Expenses section","Not shown on the form"))</f>
        <v>Main Actual Costs grid</v>
      </c>
      <c r="D132" s="24">
        <f>D29</f>
        <v>140</v>
      </c>
      <c r="E132" s="7">
        <v>171.5</v>
      </c>
      <c r="F132" s="29">
        <f>E132-D132</f>
        <v>31.5</v>
      </c>
      <c r="G132" s="30">
        <f>IF(D132&gt;0,(E132-D132)/D132,0)</f>
        <v>0.225</v>
      </c>
      <c r="H132" s="17" t="str">
        <f>IF(AND(D132&gt;0,E132&gt;D132*1.1),"Y","N")</f>
        <v>Y</v>
      </c>
      <c r="I132" s="17" t="str">
        <f>IF(AND(D132=0,E132&gt;0),"Y","N")</f>
        <v>N</v>
      </c>
      <c r="J132" s="17" t="str">
        <f>IF(OR(H132="Y",I132="Y"),"Y","N")</f>
        <v>Y</v>
      </c>
      <c r="K132" s="9"/>
      <c r="L132" s="27" t="str">
        <f>IF(LEFT(C132,3)="Not","n/a",IF(K132="","",IF(UPPER(K132)=J132,"PASS","FAIL")))</f>
        <v/>
      </c>
      <c r="M132" s="9"/>
    </row>
    <row r="133" spans="1:13" x14ac:dyDescent="0.25">
      <c r="A133" s="17" t="s">
        <v>704</v>
      </c>
      <c r="B133" s="4" t="s">
        <v>556</v>
      </c>
      <c r="C133" s="12" t="str">
        <f>IF(D133&gt;0,"Main Actual Costs grid",IF(E133&gt;0,"Additional Expenses section","Not shown on the form"))</f>
        <v>Not shown on the form</v>
      </c>
      <c r="D133" s="24">
        <f>D30</f>
        <v>0</v>
      </c>
      <c r="E133" s="7">
        <v>0</v>
      </c>
      <c r="F133" s="29">
        <f>E133-D133</f>
        <v>0</v>
      </c>
      <c r="G133" s="30">
        <f>IF(D133&gt;0,(E133-D133)/D133,0)</f>
        <v>0</v>
      </c>
      <c r="H133" s="17" t="str">
        <f>IF(AND(D133&gt;0,E133&gt;D133*1.1),"Y","N")</f>
        <v>N</v>
      </c>
      <c r="I133" s="17" t="str">
        <f>IF(AND(D133=0,E133&gt;0),"Y","N")</f>
        <v>N</v>
      </c>
      <c r="J133" s="17" t="str">
        <f>IF(OR(H133="Y",I133="Y"),"Y","N")</f>
        <v>N</v>
      </c>
      <c r="K133" s="9"/>
      <c r="L133" s="27" t="str">
        <f>IF(LEFT(C133,3)="Not","n/a",IF(K133="","",IF(UPPER(K133)=J133,"PASS","FAIL")))</f>
        <v>n/a</v>
      </c>
      <c r="M133" s="9"/>
    </row>
    <row r="134" spans="1:13" x14ac:dyDescent="0.25">
      <c r="A134" s="17" t="s">
        <v>705</v>
      </c>
      <c r="B134" s="4" t="s">
        <v>548</v>
      </c>
      <c r="C134" s="12" t="str">
        <f>IF(D134&gt;0,"Main Actual Costs grid",IF(E134&gt;0,"Additional Expenses section","Not shown on the form"))</f>
        <v>Main Actual Costs grid</v>
      </c>
      <c r="D134" s="24">
        <f>D23</f>
        <v>224</v>
      </c>
      <c r="E134" s="7">
        <v>224</v>
      </c>
      <c r="F134" s="29">
        <f>E134-D134</f>
        <v>0</v>
      </c>
      <c r="G134" s="30">
        <f>IF(D134&gt;0,(E134-D134)/D134,0)</f>
        <v>0</v>
      </c>
      <c r="H134" s="17" t="str">
        <f>IF(AND(D134&gt;0,E134&gt;D134*1.1),"Y","N")</f>
        <v>N</v>
      </c>
      <c r="I134" s="17" t="str">
        <f>IF(AND(D134=0,E134&gt;0),"Y","N")</f>
        <v>N</v>
      </c>
      <c r="J134" s="17" t="str">
        <f>IF(OR(H134="Y",I134="Y"),"Y","N")</f>
        <v>N</v>
      </c>
      <c r="K134" s="9"/>
      <c r="L134" s="27" t="str">
        <f>IF(LEFT(C134,3)="Not","n/a",IF(K134="","",IF(UPPER(K134)=J134,"PASS","FAIL")))</f>
        <v/>
      </c>
      <c r="M134" s="9"/>
    </row>
    <row r="135" spans="1:13" x14ac:dyDescent="0.25">
      <c r="A135" s="17" t="s">
        <v>706</v>
      </c>
      <c r="B135" s="4" t="s">
        <v>550</v>
      </c>
      <c r="C135" s="12" t="str">
        <f>IF(D135&gt;0,"Main Actual Costs grid",IF(E135&gt;0,"Additional Expenses section","Not shown on the form"))</f>
        <v>Main Actual Costs grid</v>
      </c>
      <c r="D135" s="24">
        <f>D24</f>
        <v>190</v>
      </c>
      <c r="E135" s="7">
        <v>212.4</v>
      </c>
      <c r="F135" s="29">
        <f>E135-D135</f>
        <v>22.4</v>
      </c>
      <c r="G135" s="30">
        <f>IF(D135&gt;0,(E135-D135)/D135,0)</f>
        <v>0.11789473684</v>
      </c>
      <c r="H135" s="17" t="str">
        <f>IF(AND(D135&gt;0,E135&gt;D135*1.1),"Y","N")</f>
        <v>Y</v>
      </c>
      <c r="I135" s="17" t="str">
        <f>IF(AND(D135=0,E135&gt;0),"Y","N")</f>
        <v>N</v>
      </c>
      <c r="J135" s="17" t="str">
        <f>IF(OR(H135="Y",I135="Y"),"Y","N")</f>
        <v>Y</v>
      </c>
      <c r="K135" s="9"/>
      <c r="L135" s="27" t="str">
        <f>IF(LEFT(C135,3)="Not","n/a",IF(K135="","",IF(UPPER(K135)=J135,"PASS","FAIL")))</f>
        <v/>
      </c>
      <c r="M135" s="9"/>
    </row>
    <row r="137" spans="2:3" x14ac:dyDescent="0.25">
      <c r="B137" s="22" t="s">
        <v>772</v>
      </c>
      <c r="C137" s="22"/>
    </row>
    <row r="138" spans="2:3" x14ac:dyDescent="0.25">
      <c r="B138" s="4" t="s">
        <v>555</v>
      </c>
      <c r="C138" s="8" t="s">
        <v>807</v>
      </c>
    </row>
    <row r="139" spans="2:3" x14ac:dyDescent="0.25">
      <c r="B139" s="4" t="s">
        <v>550</v>
      </c>
      <c r="C139" s="8" t="s">
        <v>808</v>
      </c>
    </row>
    <row r="141" spans="1:6" x14ac:dyDescent="0.25">
      <c r="A141" s="16" t="s">
        <v>517</v>
      </c>
      <c r="B141" s="16" t="s">
        <v>707</v>
      </c>
      <c r="C141" s="16" t="s">
        <v>708</v>
      </c>
      <c r="D141" s="16" t="s">
        <v>709</v>
      </c>
      <c r="E141" s="16" t="s">
        <v>624</v>
      </c>
      <c r="F141" s="16" t="s">
        <v>625</v>
      </c>
    </row>
    <row r="142" spans="1:6" x14ac:dyDescent="0.25">
      <c r="A142" s="17" t="s">
        <v>710</v>
      </c>
      <c r="B142" s="4" t="s">
        <v>711</v>
      </c>
      <c r="C142" s="6" t="s">
        <v>712</v>
      </c>
      <c r="D142" s="24">
        <f>D55</f>
        <v>1220</v>
      </c>
      <c r="E142" s="28"/>
      <c r="F142" s="27" t="str">
        <f>IF(E142="","",IF(ABS(E142-D142)&lt;=Setup!$C$6,"PASS","FAIL"))</f>
        <v/>
      </c>
    </row>
    <row r="143" spans="1:6" x14ac:dyDescent="0.25">
      <c r="A143" s="17" t="s">
        <v>713</v>
      </c>
      <c r="B143" s="4" t="s">
        <v>714</v>
      </c>
      <c r="C143" s="6" t="s">
        <v>715</v>
      </c>
      <c r="D143" s="24">
        <f>D121</f>
        <v>79</v>
      </c>
      <c r="E143" s="28"/>
      <c r="F143" s="27" t="str">
        <f>IF(E143="","",IF(ABS(E143-D143)&lt;=Setup!$C$6,"PASS","FAIL"))</f>
        <v/>
      </c>
    </row>
    <row r="144" spans="1:6" x14ac:dyDescent="0.25">
      <c r="A144" s="17" t="s">
        <v>716</v>
      </c>
      <c r="B144" s="4" t="s">
        <v>717</v>
      </c>
      <c r="C144" s="6" t="s">
        <v>715</v>
      </c>
      <c r="D144" s="18">
        <f>D13</f>
        <v>4</v>
      </c>
      <c r="E144" s="26"/>
      <c r="F144" s="27" t="str">
        <f>IF(E144="","",IF(ABS(E144-D144)&lt;=Setup!$C$6,"PASS","FAIL"))</f>
        <v/>
      </c>
    </row>
    <row r="145" spans="1:6" x14ac:dyDescent="0.25">
      <c r="A145" s="17" t="s">
        <v>718</v>
      </c>
      <c r="B145" s="4" t="s">
        <v>61</v>
      </c>
      <c r="C145" s="6" t="s">
        <v>719</v>
      </c>
      <c r="D145" s="18">
        <f>MAX(0,D119-D118)</f>
        <v>9</v>
      </c>
      <c r="E145" s="26"/>
      <c r="F145" s="27" t="str">
        <f>IF(E145="","",IF(ABS(E145-D145)&lt;=Setup!$C$6,"PASS","FAIL"))</f>
        <v/>
      </c>
    </row>
    <row r="146" spans="1:6" x14ac:dyDescent="0.25">
      <c r="A146" s="17" t="s">
        <v>720</v>
      </c>
      <c r="B146" s="4" t="s">
        <v>630</v>
      </c>
      <c r="C146" s="6" t="s">
        <v>64</v>
      </c>
      <c r="D146" s="24">
        <f>1.5*D121+MAX(D145-1,0)*D121</f>
        <v>750.5</v>
      </c>
      <c r="E146" s="28"/>
      <c r="F146" s="27" t="str">
        <f>IF(E146="","",IF(ABS(E146-D146)&lt;=Setup!$C$6,"PASS","FAIL"))</f>
        <v/>
      </c>
    </row>
    <row r="147" spans="1:6" x14ac:dyDescent="0.25">
      <c r="A147" s="17" t="s">
        <v>721</v>
      </c>
      <c r="B147" s="4" t="s">
        <v>722</v>
      </c>
      <c r="C147" s="6" t="s">
        <v>723</v>
      </c>
      <c r="D147" s="24">
        <f>E124+E125+E127+E126</f>
        <v>2919.4</v>
      </c>
      <c r="E147" s="15"/>
      <c r="F147" s="15" t="s">
        <v>672</v>
      </c>
    </row>
    <row r="148" spans="1:6" x14ac:dyDescent="0.25">
      <c r="A148" s="17" t="s">
        <v>724</v>
      </c>
      <c r="B148" s="4" t="s">
        <v>66</v>
      </c>
      <c r="C148" s="6" t="s">
        <v>725</v>
      </c>
      <c r="D148" s="24">
        <f>D146+D147</f>
        <v>3669.9</v>
      </c>
      <c r="E148" s="28"/>
      <c r="F148" s="27" t="str">
        <f>IF(E148="","",IF(ABS(E148-D148)&lt;=Setup!$C$6,"PASS","FAIL"))</f>
        <v/>
      </c>
    </row>
    <row r="149" spans="1:6" x14ac:dyDescent="0.25">
      <c r="A149" s="17" t="s">
        <v>726</v>
      </c>
      <c r="B149" s="4" t="s">
        <v>727</v>
      </c>
      <c r="C149" s="6" t="s">
        <v>579</v>
      </c>
      <c r="D149" s="24">
        <f>SUM(E128:E135)</f>
        <v>607.9</v>
      </c>
      <c r="E149" s="15"/>
      <c r="F149" s="15" t="s">
        <v>672</v>
      </c>
    </row>
    <row r="150" spans="1:6" x14ac:dyDescent="0.25">
      <c r="A150" s="17" t="s">
        <v>728</v>
      </c>
      <c r="B150" s="10" t="s">
        <v>68</v>
      </c>
      <c r="C150" s="6" t="s">
        <v>729</v>
      </c>
      <c r="D150" s="25">
        <f>D148*D120+D149</f>
        <v>15287.5</v>
      </c>
      <c r="E150" s="28"/>
      <c r="F150" s="27" t="str">
        <f>IF(E150="","",IF(ABS(E150-D150)&lt;=Setup!$C$6,"PASS","FAIL"))</f>
        <v/>
      </c>
    </row>
    <row r="151" spans="1:6" x14ac:dyDescent="0.25">
      <c r="A151" s="17" t="s">
        <v>730</v>
      </c>
      <c r="B151" s="4" t="s">
        <v>731</v>
      </c>
      <c r="C151" s="6" t="s">
        <v>732</v>
      </c>
      <c r="D151" s="24">
        <f>D55</f>
        <v>1220</v>
      </c>
      <c r="E151" s="28"/>
      <c r="F151" s="27" t="str">
        <f>IF(E151="","",IF(ABS(E151-D151)&lt;=Setup!$C$6,"PASS","FAIL"))</f>
        <v/>
      </c>
    </row>
    <row r="152" spans="1:6" x14ac:dyDescent="0.25">
      <c r="A152" s="17" t="s">
        <v>733</v>
      </c>
      <c r="B152" s="10" t="s">
        <v>734</v>
      </c>
      <c r="C152" s="6" t="s">
        <v>587</v>
      </c>
      <c r="D152" s="25">
        <f>D150+D151</f>
        <v>16507.5</v>
      </c>
      <c r="E152" s="28"/>
      <c r="F152" s="27" t="str">
        <f>IF(E152="","",IF(ABS(E152-D152)&lt;=Setup!$C$6,"PASS","FAIL"))</f>
        <v/>
      </c>
    </row>
    <row r="153" spans="1:6" x14ac:dyDescent="0.25">
      <c r="A153" s="17" t="s">
        <v>735</v>
      </c>
      <c r="B153" s="4" t="s">
        <v>736</v>
      </c>
      <c r="C153" s="6" t="s">
        <v>737</v>
      </c>
      <c r="D153" s="24">
        <f>D50+D55</f>
        <v>16282.48</v>
      </c>
      <c r="E153" s="15"/>
      <c r="F153" s="15" t="s">
        <v>672</v>
      </c>
    </row>
    <row r="154" spans="1:6" x14ac:dyDescent="0.25">
      <c r="A154" s="17" t="s">
        <v>738</v>
      </c>
      <c r="B154" s="10" t="s">
        <v>739</v>
      </c>
      <c r="C154" s="6" t="s">
        <v>740</v>
      </c>
      <c r="D154" s="31">
        <f>D152-D153</f>
        <v>225.02</v>
      </c>
      <c r="E154" s="32"/>
      <c r="F154" s="27" t="str">
        <f>IF(E154="","",IF(ABS(E154-D154)&lt;=Setup!$C$6,"PASS","FAIL"))</f>
        <v/>
      </c>
    </row>
    <row r="155" spans="1:6" x14ac:dyDescent="0.25">
      <c r="A155" s="17" t="s">
        <v>741</v>
      </c>
      <c r="B155" s="4" t="s">
        <v>742</v>
      </c>
      <c r="C155" s="6" t="s">
        <v>743</v>
      </c>
      <c r="D155" s="24">
        <f>D152</f>
        <v>16507.5</v>
      </c>
      <c r="E155" s="28"/>
      <c r="F155" s="27" t="str">
        <f>IF(E155="","",IF(ABS(E155-D155)&lt;=Setup!$C$6,"PASS","FAIL"))</f>
        <v/>
      </c>
    </row>
    <row r="156" spans="1:6" x14ac:dyDescent="0.25">
      <c r="A156" s="17" t="s">
        <v>744</v>
      </c>
      <c r="B156" s="4" t="s">
        <v>745</v>
      </c>
      <c r="C156" s="6" t="s">
        <v>746</v>
      </c>
      <c r="D156" s="29">
        <f>D154</f>
        <v>225.02</v>
      </c>
      <c r="E156" s="32"/>
      <c r="F156" s="27" t="str">
        <f>IF(E156="","",IF(ABS(E156-D156)&lt;=Setup!$C$6,"PASS","FAIL"))</f>
        <v/>
      </c>
    </row>
    <row r="157" spans="1:6" x14ac:dyDescent="0.25">
      <c r="A157" s="17" t="s">
        <v>747</v>
      </c>
      <c r="B157" s="4" t="s">
        <v>748</v>
      </c>
      <c r="C157" s="6" t="s">
        <v>749</v>
      </c>
      <c r="D157" s="18">
        <f>COUNTIF(H124:H135,"Y")</f>
        <v>2</v>
      </c>
      <c r="E157" s="26"/>
      <c r="F157" s="27" t="str">
        <f>IF(E157="","",IF(ABS(E157-D157)&lt;=Setup!$C$6,"PASS","FAIL"))</f>
        <v/>
      </c>
    </row>
    <row r="158" spans="1:6" x14ac:dyDescent="0.25">
      <c r="A158" s="17" t="s">
        <v>750</v>
      </c>
      <c r="B158" s="4" t="s">
        <v>751</v>
      </c>
      <c r="C158" s="6" t="s">
        <v>752</v>
      </c>
      <c r="D158" s="18">
        <f>COUNTIF(I124:I135,"Y")</f>
        <v>0</v>
      </c>
      <c r="E158" s="26"/>
      <c r="F158" s="27" t="str">
        <f>IF(E158="","",IF(ABS(E158-D158)&lt;=Setup!$C$6,"PASS","FAIL"))</f>
        <v/>
      </c>
    </row>
  </sheetData>
  <mergeCells count="2">
    <mergeCell ref="A2:M2"/>
    <mergeCell ref="A3:M3"/>
  </mergeCells>
  <conditionalFormatting sqref="A1:M158">
    <cfRule type="cellIs" dxfId="36" priority="1" operator="equal">
      <formula>"PASS"</formula>
    </cfRule>
    <cfRule type="cellIs" dxfId="37" priority="2" operator="equal">
      <formula>"OK"</formula>
    </cfRule>
    <cfRule type="cellIs" dxfId="38" priority="3" operator="equal">
      <formula>"Covered"</formula>
    </cfRule>
    <cfRule type="cellIs" dxfId="39" priority="4" operator="equal">
      <formula>"FAIL"</formula>
    </cfRule>
    <cfRule type="cellIs" dxfId="40" priority="5" operator="equal">
      <formula>"CHECK"</formula>
    </cfRule>
    <cfRule type="cellIs" dxfId="41" priority="6" operator="equal">
      <formula>"GAP"</formula>
    </cfRule>
  </conditionalFormatting>
  <dataValidations count="2">
    <dataValidation type="list" allowBlank="1" sqref="K124:K135">
      <formula1>"Y,N"</formula1>
    </dataValidation>
    <dataValidation type="list" allowBlank="1" sqref="M124:M135">
      <formula1>"Y,N"</formula1>
    </dataValidation>
  </dataValidations>
  <pageSetup orientation="landscape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8F82"/>
    <pageSetUpPr fitToPage="1"/>
  </sheetPr>
  <dimension ref="A1:M109"/>
  <sheetViews>
    <sheetView workbookViewId="0" showGridLines="0"/>
  </sheetViews>
  <sheetFormatPr defaultRowHeight="15" outlineLevelRow="0" outlineLevelCol="0" x14ac:dyDescent="55"/>
  <cols>
    <col min="1" max="1" width="8" customWidth="1"/>
    <col min="2" max="2" width="40" customWidth="1"/>
    <col min="3" max="3" width="52" customWidth="1"/>
    <col min="4" max="9" width="15" customWidth="1"/>
    <col min="10" max="13" width="14" customWidth="1"/>
  </cols>
  <sheetData>
    <row r="1" ht="26" customHeight="1" spans="1:1" x14ac:dyDescent="0.25">
      <c r="A1" s="1" t="s">
        <v>809</v>
      </c>
    </row>
    <row r="2" ht="42" customHeight="1" spans="1:13" x14ac:dyDescent="0.25">
      <c r="A2" s="2" t="s">
        <v>140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5">
      <c r="A3" s="2" t="s">
        <v>810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5" spans="1:13" x14ac:dyDescent="0.25">
      <c r="A5" s="3" t="s">
        <v>516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9" x14ac:dyDescent="0.25">
      <c r="A6" s="16" t="s">
        <v>517</v>
      </c>
      <c r="B6" s="16" t="s">
        <v>518</v>
      </c>
      <c r="C6" s="16" t="s">
        <v>519</v>
      </c>
      <c r="D6" s="16" t="s">
        <v>355</v>
      </c>
      <c r="E6" s="16"/>
      <c r="F6" s="16"/>
      <c r="G6" s="16" t="s">
        <v>370</v>
      </c>
      <c r="H6" s="16"/>
      <c r="I6" s="16"/>
    </row>
    <row r="7" spans="1:9" x14ac:dyDescent="0.25">
      <c r="A7" s="17"/>
      <c r="B7" s="4" t="s">
        <v>520</v>
      </c>
      <c r="C7" s="6" t="s">
        <v>521</v>
      </c>
      <c r="D7" s="8" t="s">
        <v>811</v>
      </c>
      <c r="E7" s="4"/>
      <c r="F7" s="4"/>
      <c r="G7" s="8" t="s">
        <v>812</v>
      </c>
      <c r="H7" s="4"/>
      <c r="I7" s="4"/>
    </row>
    <row r="8" spans="1:9" x14ac:dyDescent="0.25">
      <c r="A8" s="17"/>
      <c r="B8" s="4" t="s">
        <v>523</v>
      </c>
      <c r="C8" s="6"/>
      <c r="D8" s="8" t="s">
        <v>813</v>
      </c>
      <c r="E8" s="4"/>
      <c r="F8" s="4"/>
      <c r="G8" s="8" t="s">
        <v>814</v>
      </c>
      <c r="H8" s="4"/>
      <c r="I8" s="4"/>
    </row>
    <row r="9" spans="1:9" x14ac:dyDescent="0.25">
      <c r="A9" s="17"/>
      <c r="B9" s="4" t="s">
        <v>525</v>
      </c>
      <c r="C9" s="6" t="s">
        <v>526</v>
      </c>
      <c r="D9" s="8" t="s">
        <v>815</v>
      </c>
      <c r="E9" s="4"/>
      <c r="F9" s="4"/>
      <c r="G9" s="8" t="s">
        <v>815</v>
      </c>
      <c r="H9" s="4"/>
      <c r="I9" s="4"/>
    </row>
    <row r="10" spans="1:9" x14ac:dyDescent="0.25">
      <c r="A10" s="17"/>
      <c r="B10" s="4" t="s">
        <v>528</v>
      </c>
      <c r="C10" s="6" t="s">
        <v>529</v>
      </c>
      <c r="D10" s="8" t="s">
        <v>530</v>
      </c>
      <c r="E10" s="4"/>
      <c r="F10" s="4"/>
      <c r="G10" s="8" t="s">
        <v>530</v>
      </c>
      <c r="H10" s="4"/>
      <c r="I10" s="4"/>
    </row>
    <row r="11" spans="1:9" x14ac:dyDescent="0.25">
      <c r="A11" s="17"/>
      <c r="B11" s="4" t="s">
        <v>531</v>
      </c>
      <c r="C11" s="6"/>
      <c r="D11" s="20">
        <v>46370</v>
      </c>
      <c r="E11" s="4"/>
      <c r="F11" s="4"/>
      <c r="G11" s="20">
        <v>46373</v>
      </c>
      <c r="H11" s="4"/>
      <c r="I11" s="4"/>
    </row>
    <row r="12" spans="1:9" x14ac:dyDescent="0.25">
      <c r="A12" s="17"/>
      <c r="B12" s="4" t="s">
        <v>532</v>
      </c>
      <c r="C12" s="6"/>
      <c r="D12" s="20">
        <v>46371</v>
      </c>
      <c r="E12" s="4"/>
      <c r="F12" s="4"/>
      <c r="G12" s="20">
        <v>46373</v>
      </c>
      <c r="H12" s="4"/>
      <c r="I12" s="4"/>
    </row>
    <row r="13" spans="1:9" x14ac:dyDescent="0.25">
      <c r="A13" s="17"/>
      <c r="B13" s="4" t="s">
        <v>533</v>
      </c>
      <c r="C13" s="6" t="s">
        <v>534</v>
      </c>
      <c r="D13" s="21">
        <v>1</v>
      </c>
      <c r="E13" s="4"/>
      <c r="F13" s="4"/>
      <c r="G13" s="21">
        <v>1</v>
      </c>
      <c r="H13" s="4"/>
      <c r="I13" s="4"/>
    </row>
    <row r="14" spans="1:9" x14ac:dyDescent="0.25">
      <c r="A14" s="17"/>
      <c r="B14" s="4" t="s">
        <v>535</v>
      </c>
      <c r="C14" s="6" t="s">
        <v>536</v>
      </c>
      <c r="D14" s="7">
        <v>135</v>
      </c>
      <c r="E14" s="4"/>
      <c r="F14" s="4"/>
      <c r="G14" s="7">
        <v>130</v>
      </c>
      <c r="H14" s="4"/>
      <c r="I14" s="4"/>
    </row>
    <row r="15" spans="1:9" x14ac:dyDescent="0.25">
      <c r="A15" s="17"/>
      <c r="B15" s="4" t="s">
        <v>537</v>
      </c>
      <c r="C15" s="6" t="s">
        <v>536</v>
      </c>
      <c r="D15" s="7">
        <v>64</v>
      </c>
      <c r="E15" s="4"/>
      <c r="F15" s="4"/>
      <c r="G15" s="7">
        <v>64</v>
      </c>
      <c r="H15" s="4"/>
      <c r="I15" s="4"/>
    </row>
    <row r="16" spans="1:9" x14ac:dyDescent="0.25">
      <c r="A16" s="17"/>
      <c r="B16" s="4" t="s">
        <v>538</v>
      </c>
      <c r="C16" s="6" t="s">
        <v>539</v>
      </c>
      <c r="D16" s="7">
        <v>128</v>
      </c>
      <c r="E16" s="4"/>
      <c r="F16" s="4"/>
      <c r="G16" s="7">
        <v>0</v>
      </c>
      <c r="H16" s="4"/>
      <c r="I16" s="4"/>
    </row>
    <row r="17" spans="1:9" x14ac:dyDescent="0.25">
      <c r="A17" s="17"/>
      <c r="B17" s="4" t="s">
        <v>540</v>
      </c>
      <c r="C17" s="6" t="s">
        <v>539</v>
      </c>
      <c r="D17" s="7">
        <v>145.92</v>
      </c>
      <c r="E17" s="4"/>
      <c r="F17" s="4"/>
      <c r="G17" s="7">
        <v>0</v>
      </c>
      <c r="H17" s="4"/>
      <c r="I17" s="4"/>
    </row>
    <row r="18" spans="1:9" x14ac:dyDescent="0.25">
      <c r="A18" s="17"/>
      <c r="B18" s="4" t="s">
        <v>541</v>
      </c>
      <c r="C18" s="6" t="s">
        <v>542</v>
      </c>
      <c r="D18" s="7">
        <v>0</v>
      </c>
      <c r="E18" s="4"/>
      <c r="F18" s="4"/>
      <c r="G18" s="7">
        <v>0</v>
      </c>
      <c r="H18" s="4"/>
      <c r="I18" s="4"/>
    </row>
    <row r="19" spans="1:9" x14ac:dyDescent="0.25">
      <c r="A19" s="17"/>
      <c r="B19" s="4" t="s">
        <v>543</v>
      </c>
      <c r="C19" s="6" t="s">
        <v>542</v>
      </c>
      <c r="D19" s="7">
        <v>17.92</v>
      </c>
      <c r="E19" s="4"/>
      <c r="F19" s="4"/>
      <c r="G19" s="7">
        <v>0</v>
      </c>
      <c r="H19" s="4"/>
      <c r="I19" s="4"/>
    </row>
    <row r="20" spans="1:9" x14ac:dyDescent="0.25">
      <c r="A20" s="17"/>
      <c r="B20" s="4" t="s">
        <v>544</v>
      </c>
      <c r="C20" s="6" t="s">
        <v>545</v>
      </c>
      <c r="D20" s="7">
        <v>244</v>
      </c>
      <c r="E20" s="4"/>
      <c r="F20" s="4"/>
      <c r="G20" s="7">
        <v>0</v>
      </c>
      <c r="H20" s="4"/>
      <c r="I20" s="4"/>
    </row>
    <row r="21" spans="1:9" x14ac:dyDescent="0.25">
      <c r="A21" s="17"/>
      <c r="B21" s="4" t="s">
        <v>546</v>
      </c>
      <c r="C21" s="6" t="s">
        <v>545</v>
      </c>
      <c r="D21" s="7">
        <v>0</v>
      </c>
      <c r="E21" s="4"/>
      <c r="F21" s="4"/>
      <c r="G21" s="7">
        <v>0</v>
      </c>
      <c r="H21" s="4"/>
      <c r="I21" s="4"/>
    </row>
    <row r="22" spans="1:9" x14ac:dyDescent="0.25">
      <c r="A22" s="17"/>
      <c r="B22" s="4" t="s">
        <v>547</v>
      </c>
      <c r="C22" s="6" t="s">
        <v>545</v>
      </c>
      <c r="D22" s="7">
        <v>0</v>
      </c>
      <c r="E22" s="4"/>
      <c r="F22" s="4"/>
      <c r="G22" s="7">
        <v>0</v>
      </c>
      <c r="H22" s="4"/>
      <c r="I22" s="4"/>
    </row>
    <row r="23" spans="1:9" x14ac:dyDescent="0.25">
      <c r="A23" s="17"/>
      <c r="B23" s="4" t="s">
        <v>548</v>
      </c>
      <c r="C23" s="6" t="s">
        <v>549</v>
      </c>
      <c r="D23" s="7">
        <v>0</v>
      </c>
      <c r="E23" s="4"/>
      <c r="F23" s="4"/>
      <c r="G23" s="7">
        <v>0</v>
      </c>
      <c r="H23" s="4"/>
      <c r="I23" s="4"/>
    </row>
    <row r="24" spans="1:9" x14ac:dyDescent="0.25">
      <c r="A24" s="17"/>
      <c r="B24" s="4" t="s">
        <v>550</v>
      </c>
      <c r="C24" s="6" t="s">
        <v>549</v>
      </c>
      <c r="D24" s="7">
        <v>0</v>
      </c>
      <c r="E24" s="4"/>
      <c r="F24" s="4"/>
      <c r="G24" s="7">
        <v>0</v>
      </c>
      <c r="H24" s="4"/>
      <c r="I24" s="4"/>
    </row>
    <row r="25" spans="1:9" x14ac:dyDescent="0.25">
      <c r="A25" s="17"/>
      <c r="B25" s="4" t="s">
        <v>551</v>
      </c>
      <c r="C25" s="6" t="s">
        <v>549</v>
      </c>
      <c r="D25" s="7">
        <v>0</v>
      </c>
      <c r="E25" s="4"/>
      <c r="F25" s="4"/>
      <c r="G25" s="7">
        <v>0</v>
      </c>
      <c r="H25" s="4"/>
      <c r="I25" s="4"/>
    </row>
    <row r="26" spans="1:9" x14ac:dyDescent="0.25">
      <c r="A26" s="17"/>
      <c r="B26" s="4" t="s">
        <v>552</v>
      </c>
      <c r="C26" s="6" t="s">
        <v>549</v>
      </c>
      <c r="D26" s="7">
        <v>0</v>
      </c>
      <c r="E26" s="4"/>
      <c r="F26" s="4"/>
      <c r="G26" s="7">
        <v>0</v>
      </c>
      <c r="H26" s="4"/>
      <c r="I26" s="4"/>
    </row>
    <row r="27" spans="1:9" x14ac:dyDescent="0.25">
      <c r="A27" s="17"/>
      <c r="B27" s="4" t="s">
        <v>553</v>
      </c>
      <c r="C27" s="6" t="s">
        <v>549</v>
      </c>
      <c r="D27" s="7">
        <v>0</v>
      </c>
      <c r="E27" s="4"/>
      <c r="F27" s="4"/>
      <c r="G27" s="7">
        <v>0</v>
      </c>
      <c r="H27" s="4"/>
      <c r="I27" s="4"/>
    </row>
    <row r="28" spans="1:9" x14ac:dyDescent="0.25">
      <c r="A28" s="17"/>
      <c r="B28" s="4" t="s">
        <v>554</v>
      </c>
      <c r="C28" s="6" t="s">
        <v>549</v>
      </c>
      <c r="D28" s="7">
        <v>0</v>
      </c>
      <c r="E28" s="4"/>
      <c r="F28" s="4"/>
      <c r="G28" s="7">
        <v>0</v>
      </c>
      <c r="H28" s="4"/>
      <c r="I28" s="4"/>
    </row>
    <row r="29" spans="1:9" x14ac:dyDescent="0.25">
      <c r="A29" s="17"/>
      <c r="B29" s="4" t="s">
        <v>555</v>
      </c>
      <c r="C29" s="6" t="s">
        <v>549</v>
      </c>
      <c r="D29" s="7">
        <v>58</v>
      </c>
      <c r="E29" s="4"/>
      <c r="F29" s="4"/>
      <c r="G29" s="7">
        <v>40</v>
      </c>
      <c r="H29" s="4"/>
      <c r="I29" s="4"/>
    </row>
    <row r="30" spans="1:9" x14ac:dyDescent="0.25">
      <c r="A30" s="17"/>
      <c r="B30" s="4" t="s">
        <v>556</v>
      </c>
      <c r="C30" s="6" t="s">
        <v>549</v>
      </c>
      <c r="D30" s="7">
        <v>0</v>
      </c>
      <c r="E30" s="4"/>
      <c r="F30" s="4"/>
      <c r="G30" s="7">
        <v>0</v>
      </c>
      <c r="H30" s="4"/>
      <c r="I30" s="4"/>
    </row>
    <row r="31" spans="1:9" x14ac:dyDescent="0.25">
      <c r="A31" s="4"/>
      <c r="B31" s="22" t="s">
        <v>557</v>
      </c>
      <c r="C31" s="22"/>
      <c r="D31" s="22"/>
      <c r="E31" s="22"/>
      <c r="F31" s="22"/>
      <c r="G31" s="22"/>
      <c r="H31" s="22"/>
      <c r="I31" s="22"/>
    </row>
    <row r="32" spans="1:9" x14ac:dyDescent="0.25">
      <c r="A32" s="17"/>
      <c r="B32" s="4" t="s">
        <v>558</v>
      </c>
      <c r="C32" s="6" t="s">
        <v>559</v>
      </c>
      <c r="D32" s="7">
        <v>40</v>
      </c>
      <c r="E32" s="4"/>
      <c r="F32" s="4"/>
      <c r="G32" s="7">
        <v>0</v>
      </c>
      <c r="H32" s="4"/>
      <c r="I32" s="4"/>
    </row>
    <row r="33" spans="1:9" x14ac:dyDescent="0.25">
      <c r="A33" s="17"/>
      <c r="B33" s="4" t="s">
        <v>560</v>
      </c>
      <c r="C33" s="6"/>
      <c r="D33" s="23">
        <v>6</v>
      </c>
      <c r="E33" s="4"/>
      <c r="F33" s="4"/>
      <c r="G33" s="23">
        <v>0</v>
      </c>
      <c r="H33" s="4"/>
      <c r="I33" s="4"/>
    </row>
    <row r="34" spans="1:9" x14ac:dyDescent="0.25">
      <c r="A34" s="17"/>
      <c r="B34" s="4" t="s">
        <v>561</v>
      </c>
      <c r="C34" s="6"/>
      <c r="D34" s="7">
        <v>0</v>
      </c>
      <c r="E34" s="4"/>
      <c r="F34" s="4"/>
      <c r="G34" s="7">
        <v>0</v>
      </c>
      <c r="H34" s="4"/>
      <c r="I34" s="4"/>
    </row>
    <row r="35" spans="1:9" x14ac:dyDescent="0.25">
      <c r="A35" s="17"/>
      <c r="B35" s="4" t="s">
        <v>562</v>
      </c>
      <c r="C35" s="6"/>
      <c r="D35" s="23">
        <v>0</v>
      </c>
      <c r="E35" s="4"/>
      <c r="F35" s="4"/>
      <c r="G35" s="23">
        <v>0</v>
      </c>
      <c r="H35" s="4"/>
      <c r="I35" s="4"/>
    </row>
    <row r="36" spans="1:9" x14ac:dyDescent="0.25">
      <c r="A36" s="17"/>
      <c r="B36" s="4" t="s">
        <v>563</v>
      </c>
      <c r="C36" s="6"/>
      <c r="D36" s="7">
        <v>0</v>
      </c>
      <c r="E36" s="4"/>
      <c r="F36" s="4"/>
      <c r="G36" s="7">
        <v>0</v>
      </c>
      <c r="H36" s="4"/>
      <c r="I36" s="4"/>
    </row>
    <row r="37" spans="1:9" x14ac:dyDescent="0.25">
      <c r="A37" s="17"/>
      <c r="B37" s="4" t="s">
        <v>564</v>
      </c>
      <c r="C37" s="6"/>
      <c r="D37" s="23">
        <v>0</v>
      </c>
      <c r="E37" s="4"/>
      <c r="F37" s="4"/>
      <c r="G37" s="23">
        <v>0</v>
      </c>
      <c r="H37" s="4"/>
      <c r="I37" s="4"/>
    </row>
    <row r="38" spans="1:9" x14ac:dyDescent="0.25">
      <c r="A38" s="17"/>
      <c r="B38" s="4" t="s">
        <v>565</v>
      </c>
      <c r="C38" s="6"/>
      <c r="D38" s="7">
        <v>0</v>
      </c>
      <c r="E38" s="4"/>
      <c r="F38" s="4"/>
      <c r="G38" s="7">
        <v>0</v>
      </c>
      <c r="H38" s="4"/>
      <c r="I38" s="4"/>
    </row>
    <row r="39" spans="1:9" x14ac:dyDescent="0.25">
      <c r="A39" s="17"/>
      <c r="B39" s="4" t="s">
        <v>566</v>
      </c>
      <c r="C39" s="6"/>
      <c r="D39" s="23">
        <v>0</v>
      </c>
      <c r="E39" s="4"/>
      <c r="F39" s="4"/>
      <c r="G39" s="23">
        <v>0</v>
      </c>
      <c r="H39" s="4"/>
      <c r="I39" s="4"/>
    </row>
    <row r="40" spans="1:9" x14ac:dyDescent="0.25">
      <c r="A40" s="17"/>
      <c r="B40" s="4" t="s">
        <v>567</v>
      </c>
      <c r="C40" s="6" t="s">
        <v>568</v>
      </c>
      <c r="D40" s="21">
        <v>0</v>
      </c>
      <c r="E40" s="4"/>
      <c r="F40" s="4"/>
      <c r="G40" s="21">
        <v>0</v>
      </c>
      <c r="H40" s="4"/>
      <c r="I40" s="4"/>
    </row>
    <row r="42" spans="1:13" x14ac:dyDescent="0.25">
      <c r="A42" s="3" t="s">
        <v>569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9" x14ac:dyDescent="0.25">
      <c r="A43" s="16" t="s">
        <v>517</v>
      </c>
      <c r="B43" s="16" t="s">
        <v>518</v>
      </c>
      <c r="C43" s="16" t="s">
        <v>519</v>
      </c>
      <c r="D43" s="16" t="s">
        <v>355</v>
      </c>
      <c r="E43" s="16"/>
      <c r="F43" s="16"/>
      <c r="G43" s="16" t="s">
        <v>370</v>
      </c>
      <c r="H43" s="16"/>
      <c r="I43" s="16"/>
    </row>
    <row r="44" spans="1:9" x14ac:dyDescent="0.25">
      <c r="A44" s="17"/>
      <c r="B44" s="4" t="s">
        <v>61</v>
      </c>
      <c r="C44" s="6" t="s">
        <v>570</v>
      </c>
      <c r="D44" s="18">
        <f>MAX(0,D12-D11)</f>
        <v>1</v>
      </c>
      <c r="E44" s="4"/>
      <c r="F44" s="4"/>
      <c r="G44" s="18">
        <f>MAX(0,G12-G11)</f>
        <v>0</v>
      </c>
      <c r="H44" s="4"/>
      <c r="I44" s="4"/>
    </row>
    <row r="45" spans="1:9" x14ac:dyDescent="0.25">
      <c r="A45" s="17"/>
      <c r="B45" s="4" t="s">
        <v>571</v>
      </c>
      <c r="C45" s="6" t="s">
        <v>572</v>
      </c>
      <c r="D45" s="18">
        <f>MAX(D44-1,0)</f>
        <v>0</v>
      </c>
      <c r="E45" s="4"/>
      <c r="F45" s="4"/>
      <c r="G45" s="18">
        <f>MAX(G44-1,0)</f>
        <v>0</v>
      </c>
      <c r="H45" s="4"/>
      <c r="I45" s="4"/>
    </row>
    <row r="46" spans="1:9" x14ac:dyDescent="0.25">
      <c r="A46" s="17"/>
      <c r="B46" s="4" t="s">
        <v>573</v>
      </c>
      <c r="C46" s="6" t="s">
        <v>574</v>
      </c>
      <c r="D46" s="24">
        <f>1.5*D15+D45*D15</f>
        <v>96</v>
      </c>
      <c r="E46" s="4"/>
      <c r="F46" s="4"/>
      <c r="G46" s="24">
        <f>1.5*G15+G45*G15</f>
        <v>96</v>
      </c>
      <c r="H46" s="4"/>
      <c r="I46" s="4"/>
    </row>
    <row r="47" spans="1:9" x14ac:dyDescent="0.25">
      <c r="A47" s="17"/>
      <c r="B47" s="4" t="s">
        <v>575</v>
      </c>
      <c r="C47" s="6" t="s">
        <v>576</v>
      </c>
      <c r="D47" s="24">
        <f>D17+D20+D22+D21</f>
        <v>389.92</v>
      </c>
      <c r="E47" s="4"/>
      <c r="F47" s="4"/>
      <c r="G47" s="24">
        <f>G17+G20+G22+G21</f>
        <v>0</v>
      </c>
      <c r="H47" s="4"/>
      <c r="I47" s="4"/>
    </row>
    <row r="48" spans="1:9" x14ac:dyDescent="0.25">
      <c r="A48" s="17"/>
      <c r="B48" s="10" t="s">
        <v>66</v>
      </c>
      <c r="C48" s="6" t="s">
        <v>577</v>
      </c>
      <c r="D48" s="25">
        <f>D46+D47</f>
        <v>485.92</v>
      </c>
      <c r="E48" s="4"/>
      <c r="F48" s="4"/>
      <c r="G48" s="25">
        <f>G46+G47</f>
        <v>96</v>
      </c>
      <c r="H48" s="4"/>
      <c r="I48" s="4"/>
    </row>
    <row r="49" spans="1:9" x14ac:dyDescent="0.25">
      <c r="A49" s="17"/>
      <c r="B49" s="4" t="s">
        <v>578</v>
      </c>
      <c r="C49" s="6" t="s">
        <v>579</v>
      </c>
      <c r="D49" s="24">
        <f>D25+D26+D27+D28+D29+D30+D23+D24</f>
        <v>58</v>
      </c>
      <c r="E49" s="4"/>
      <c r="F49" s="4"/>
      <c r="G49" s="24">
        <f>G25+G26+G27+G28+G29+G30+G23+G24</f>
        <v>40</v>
      </c>
      <c r="H49" s="4"/>
      <c r="I49" s="4"/>
    </row>
    <row r="50" spans="1:9" x14ac:dyDescent="0.25">
      <c r="A50" s="17"/>
      <c r="B50" s="10" t="s">
        <v>68</v>
      </c>
      <c r="C50" s="6" t="s">
        <v>69</v>
      </c>
      <c r="D50" s="25">
        <f>D48*D13+D49</f>
        <v>543.92</v>
      </c>
      <c r="E50" s="4"/>
      <c r="F50" s="4"/>
      <c r="G50" s="25">
        <f>G48*G13+G49</f>
        <v>136</v>
      </c>
      <c r="H50" s="4"/>
      <c r="I50" s="4"/>
    </row>
    <row r="51" spans="1:9" x14ac:dyDescent="0.25">
      <c r="A51" s="17"/>
      <c r="B51" s="4" t="s">
        <v>580</v>
      </c>
      <c r="C51" s="6" t="s">
        <v>581</v>
      </c>
      <c r="D51" s="24">
        <f>IF(1&lt;=D13,D32*D33,0)</f>
        <v>240</v>
      </c>
      <c r="E51" s="4"/>
      <c r="F51" s="4"/>
      <c r="G51" s="24">
        <f>IF(1&lt;=G13,G32*G33,0)</f>
        <v>0</v>
      </c>
      <c r="H51" s="4"/>
      <c r="I51" s="4"/>
    </row>
    <row r="52" spans="1:9" x14ac:dyDescent="0.25">
      <c r="A52" s="17"/>
      <c r="B52" s="4" t="s">
        <v>582</v>
      </c>
      <c r="C52" s="6" t="s">
        <v>581</v>
      </c>
      <c r="D52" s="24">
        <f>IF(2&lt;=D13,D34*D35,0)</f>
        <v>0</v>
      </c>
      <c r="E52" s="4"/>
      <c r="F52" s="4"/>
      <c r="G52" s="24">
        <f>IF(2&lt;=G13,G34*G35,0)</f>
        <v>0</v>
      </c>
      <c r="H52" s="4"/>
      <c r="I52" s="4"/>
    </row>
    <row r="53" spans="1:9" x14ac:dyDescent="0.25">
      <c r="A53" s="17"/>
      <c r="B53" s="4" t="s">
        <v>583</v>
      </c>
      <c r="C53" s="6" t="s">
        <v>581</v>
      </c>
      <c r="D53" s="24">
        <f>IF(3&lt;=D13,D36*D37,0)</f>
        <v>0</v>
      </c>
      <c r="E53" s="4"/>
      <c r="F53" s="4"/>
      <c r="G53" s="24">
        <f>IF(3&lt;=G13,G36*G37,0)</f>
        <v>0</v>
      </c>
      <c r="H53" s="4"/>
      <c r="I53" s="4"/>
    </row>
    <row r="54" spans="1:9" x14ac:dyDescent="0.25">
      <c r="A54" s="17"/>
      <c r="B54" s="4" t="s">
        <v>584</v>
      </c>
      <c r="C54" s="6" t="s">
        <v>581</v>
      </c>
      <c r="D54" s="24">
        <f>IF(4&lt;=D13,D38*D39,0)</f>
        <v>0</v>
      </c>
      <c r="E54" s="4"/>
      <c r="F54" s="4"/>
      <c r="G54" s="24">
        <f>IF(4&lt;=G13,G38*G39,0)</f>
        <v>0</v>
      </c>
      <c r="H54" s="4"/>
      <c r="I54" s="4"/>
    </row>
    <row r="55" spans="1:9" x14ac:dyDescent="0.25">
      <c r="A55" s="17"/>
      <c r="B55" s="10" t="s">
        <v>71</v>
      </c>
      <c r="C55" s="6" t="s">
        <v>585</v>
      </c>
      <c r="D55" s="25">
        <f>SUM(D51:D54)</f>
        <v>240</v>
      </c>
      <c r="E55" s="4"/>
      <c r="F55" s="4"/>
      <c r="G55" s="25">
        <f>SUM(G51:G54)</f>
        <v>0</v>
      </c>
      <c r="H55" s="4"/>
      <c r="I55" s="4"/>
    </row>
    <row r="56" spans="1:9" x14ac:dyDescent="0.25">
      <c r="A56" s="17"/>
      <c r="B56" s="10" t="s">
        <v>586</v>
      </c>
      <c r="C56" s="6" t="s">
        <v>587</v>
      </c>
      <c r="D56" s="25">
        <f>D50+D55</f>
        <v>783.92</v>
      </c>
      <c r="E56" s="4"/>
      <c r="F56" s="4"/>
      <c r="G56" s="25">
        <f>G50+G55</f>
        <v>136</v>
      </c>
      <c r="H56" s="4"/>
      <c r="I56" s="4"/>
    </row>
    <row r="57" spans="1:9" x14ac:dyDescent="0.25">
      <c r="A57" s="4"/>
      <c r="B57" s="22" t="s">
        <v>588</v>
      </c>
      <c r="C57" s="22" t="s">
        <v>589</v>
      </c>
      <c r="D57" s="22"/>
      <c r="E57" s="22"/>
      <c r="F57" s="22"/>
      <c r="G57" s="22"/>
      <c r="H57" s="22"/>
      <c r="I57" s="22"/>
    </row>
    <row r="58" spans="1:9" x14ac:dyDescent="0.25">
      <c r="A58" s="17"/>
      <c r="B58" s="4" t="s">
        <v>590</v>
      </c>
      <c r="C58" s="6" t="s">
        <v>591</v>
      </c>
      <c r="D58" s="24">
        <f>ROUND(D17*Setup!$C$5,2)</f>
        <v>164.51</v>
      </c>
      <c r="E58" s="4"/>
      <c r="F58" s="4"/>
      <c r="G58" s="24">
        <f>ROUND(G17*Setup!$C$5,2)</f>
        <v>0</v>
      </c>
      <c r="H58" s="4"/>
      <c r="I58" s="4"/>
    </row>
    <row r="59" spans="1:9" x14ac:dyDescent="0.25">
      <c r="A59" s="17"/>
      <c r="B59" s="4" t="s">
        <v>544</v>
      </c>
      <c r="C59" s="6" t="s">
        <v>592</v>
      </c>
      <c r="D59" s="24">
        <f>ROUND(D20*Setup!$C$5,2)</f>
        <v>275.09</v>
      </c>
      <c r="E59" s="4"/>
      <c r="F59" s="4"/>
      <c r="G59" s="24">
        <f>ROUND(G20*Setup!$C$5,2)</f>
        <v>0</v>
      </c>
      <c r="H59" s="4"/>
      <c r="I59" s="4"/>
    </row>
    <row r="60" spans="1:9" x14ac:dyDescent="0.25">
      <c r="A60" s="17"/>
      <c r="B60" s="4" t="s">
        <v>546</v>
      </c>
      <c r="C60" s="6" t="s">
        <v>593</v>
      </c>
      <c r="D60" s="24">
        <f>ROUND(D21*Setup!$C$5,2)</f>
        <v>0</v>
      </c>
      <c r="E60" s="4"/>
      <c r="F60" s="4"/>
      <c r="G60" s="24">
        <f>ROUND(G21*Setup!$C$5,2)</f>
        <v>0</v>
      </c>
      <c r="H60" s="4"/>
      <c r="I60" s="4"/>
    </row>
    <row r="61" spans="1:9" x14ac:dyDescent="0.25">
      <c r="A61" s="17"/>
      <c r="B61" s="4" t="s">
        <v>547</v>
      </c>
      <c r="C61" s="6" t="s">
        <v>594</v>
      </c>
      <c r="D61" s="24">
        <f>ROUND(D22*Setup!$C$5,2)</f>
        <v>0</v>
      </c>
      <c r="E61" s="4"/>
      <c r="F61" s="4"/>
      <c r="G61" s="24">
        <f>ROUND(G22*Setup!$C$5,2)</f>
        <v>0</v>
      </c>
      <c r="H61" s="4"/>
      <c r="I61" s="4"/>
    </row>
    <row r="62" spans="1:9" x14ac:dyDescent="0.25">
      <c r="A62" s="17"/>
      <c r="B62" s="4" t="s">
        <v>551</v>
      </c>
      <c r="C62" s="6" t="s">
        <v>595</v>
      </c>
      <c r="D62" s="24">
        <f>ROUND(D25*Setup!$C$5,2)</f>
        <v>0</v>
      </c>
      <c r="E62" s="4"/>
      <c r="F62" s="4"/>
      <c r="G62" s="24">
        <f>ROUND(G25*Setup!$C$5,2)</f>
        <v>0</v>
      </c>
      <c r="H62" s="4"/>
      <c r="I62" s="4"/>
    </row>
    <row r="63" spans="1:9" x14ac:dyDescent="0.25">
      <c r="A63" s="17"/>
      <c r="B63" s="4" t="s">
        <v>552</v>
      </c>
      <c r="C63" s="6" t="s">
        <v>596</v>
      </c>
      <c r="D63" s="24">
        <f>ROUND(D26*Setup!$C$5,2)</f>
        <v>0</v>
      </c>
      <c r="E63" s="4"/>
      <c r="F63" s="4"/>
      <c r="G63" s="24">
        <f>ROUND(G26*Setup!$C$5,2)</f>
        <v>0</v>
      </c>
      <c r="H63" s="4"/>
      <c r="I63" s="4"/>
    </row>
    <row r="64" spans="1:9" x14ac:dyDescent="0.25">
      <c r="A64" s="17"/>
      <c r="B64" s="4" t="s">
        <v>553</v>
      </c>
      <c r="C64" s="6" t="s">
        <v>597</v>
      </c>
      <c r="D64" s="24">
        <f>ROUND(D27*Setup!$C$5,2)</f>
        <v>0</v>
      </c>
      <c r="E64" s="4"/>
      <c r="F64" s="4"/>
      <c r="G64" s="24">
        <f>ROUND(G27*Setup!$C$5,2)</f>
        <v>0</v>
      </c>
      <c r="H64" s="4"/>
      <c r="I64" s="4"/>
    </row>
    <row r="65" spans="1:9" x14ac:dyDescent="0.25">
      <c r="A65" s="17"/>
      <c r="B65" s="4" t="s">
        <v>554</v>
      </c>
      <c r="C65" s="6" t="s">
        <v>598</v>
      </c>
      <c r="D65" s="24">
        <f>ROUND(D28*Setup!$C$5,2)</f>
        <v>0</v>
      </c>
      <c r="E65" s="4"/>
      <c r="F65" s="4"/>
      <c r="G65" s="24">
        <f>ROUND(G28*Setup!$C$5,2)</f>
        <v>0</v>
      </c>
      <c r="H65" s="4"/>
      <c r="I65" s="4"/>
    </row>
    <row r="66" spans="1:9" x14ac:dyDescent="0.25">
      <c r="A66" s="17"/>
      <c r="B66" s="4" t="s">
        <v>555</v>
      </c>
      <c r="C66" s="6" t="s">
        <v>599</v>
      </c>
      <c r="D66" s="24">
        <f>ROUND(D29*Setup!$C$5,2)</f>
        <v>65.39</v>
      </c>
      <c r="E66" s="4"/>
      <c r="F66" s="4"/>
      <c r="G66" s="24">
        <f>ROUND(G29*Setup!$C$5,2)</f>
        <v>45.1</v>
      </c>
      <c r="H66" s="4"/>
      <c r="I66" s="4"/>
    </row>
    <row r="67" spans="1:9" x14ac:dyDescent="0.25">
      <c r="A67" s="17"/>
      <c r="B67" s="4" t="s">
        <v>556</v>
      </c>
      <c r="C67" s="6" t="s">
        <v>600</v>
      </c>
      <c r="D67" s="24">
        <f>ROUND(D30*Setup!$C$5,2)</f>
        <v>0</v>
      </c>
      <c r="E67" s="4"/>
      <c r="F67" s="4"/>
      <c r="G67" s="24">
        <f>ROUND(G30*Setup!$C$5,2)</f>
        <v>0</v>
      </c>
      <c r="H67" s="4"/>
      <c r="I67" s="4"/>
    </row>
    <row r="68" spans="1:9" x14ac:dyDescent="0.25">
      <c r="A68" s="17"/>
      <c r="B68" s="4" t="s">
        <v>548</v>
      </c>
      <c r="C68" s="6" t="s">
        <v>601</v>
      </c>
      <c r="D68" s="24">
        <f>ROUND(D23*Setup!$C$5,2)</f>
        <v>0</v>
      </c>
      <c r="E68" s="4"/>
      <c r="F68" s="4"/>
      <c r="G68" s="24">
        <f>ROUND(G23*Setup!$C$5,2)</f>
        <v>0</v>
      </c>
      <c r="H68" s="4"/>
      <c r="I68" s="4"/>
    </row>
    <row r="69" spans="1:9" x14ac:dyDescent="0.25">
      <c r="A69" s="17"/>
      <c r="B69" s="4" t="s">
        <v>550</v>
      </c>
      <c r="C69" s="6" t="s">
        <v>602</v>
      </c>
      <c r="D69" s="24">
        <f>ROUND(D24*Setup!$C$5,2)</f>
        <v>0</v>
      </c>
      <c r="E69" s="4"/>
      <c r="F69" s="4"/>
      <c r="G69" s="24">
        <f>ROUND(G24*Setup!$C$5,2)</f>
        <v>0</v>
      </c>
      <c r="H69" s="4"/>
      <c r="I69" s="4"/>
    </row>
    <row r="70" spans="1:9" x14ac:dyDescent="0.25">
      <c r="A70" s="17"/>
      <c r="B70" s="4" t="s">
        <v>603</v>
      </c>
      <c r="C70" s="6" t="s">
        <v>604</v>
      </c>
      <c r="D70" s="24">
        <f>(D58+D59+D61+D60)*D13+D62+D63+D64+D65+D66+D67+D68+D69</f>
        <v>504.99</v>
      </c>
      <c r="E70" s="4"/>
      <c r="F70" s="4"/>
      <c r="G70" s="24">
        <f>(G58+G59+G61+G60)*G13+G62+G63+G64+G65+G66+G67+G68+G69</f>
        <v>45.1</v>
      </c>
      <c r="H70" s="4"/>
      <c r="I70" s="4"/>
    </row>
    <row r="71" spans="1:9" x14ac:dyDescent="0.25">
      <c r="A71" s="17"/>
      <c r="B71" s="4" t="s">
        <v>605</v>
      </c>
      <c r="C71" s="6" t="s">
        <v>606</v>
      </c>
      <c r="D71" s="24">
        <f>D46*D13</f>
        <v>96</v>
      </c>
      <c r="E71" s="4"/>
      <c r="F71" s="4"/>
      <c r="G71" s="24">
        <f>G46*G13</f>
        <v>96</v>
      </c>
      <c r="H71" s="4"/>
      <c r="I71" s="4"/>
    </row>
    <row r="72" spans="1:9" x14ac:dyDescent="0.25">
      <c r="A72" s="17"/>
      <c r="B72" s="10" t="s">
        <v>74</v>
      </c>
      <c r="C72" s="6" t="s">
        <v>607</v>
      </c>
      <c r="D72" s="25">
        <f>D70+D71</f>
        <v>600.99</v>
      </c>
      <c r="E72" s="4"/>
      <c r="F72" s="4"/>
      <c r="G72" s="25">
        <f>G70+G71</f>
        <v>141.1</v>
      </c>
      <c r="H72" s="4"/>
      <c r="I72" s="4"/>
    </row>
    <row r="73" spans="1:9" x14ac:dyDescent="0.25">
      <c r="A73" s="17"/>
      <c r="B73" s="10" t="s">
        <v>76</v>
      </c>
      <c r="C73" s="6" t="s">
        <v>77</v>
      </c>
      <c r="D73" s="25">
        <f>D72+D55</f>
        <v>840.99</v>
      </c>
      <c r="E73" s="4"/>
      <c r="F73" s="4"/>
      <c r="G73" s="25">
        <f>G72+G55</f>
        <v>141.1</v>
      </c>
      <c r="H73" s="4"/>
      <c r="I73" s="4"/>
    </row>
    <row r="74" spans="1:9" x14ac:dyDescent="0.25">
      <c r="A74" s="17"/>
      <c r="B74" s="4" t="s">
        <v>608</v>
      </c>
      <c r="C74" s="6" t="s">
        <v>609</v>
      </c>
      <c r="D74" s="24">
        <f>D73-D56</f>
        <v>57.07</v>
      </c>
      <c r="E74" s="4"/>
      <c r="F74" s="4"/>
      <c r="G74" s="24">
        <f>G73-G56</f>
        <v>5.1</v>
      </c>
      <c r="H74" s="4"/>
      <c r="I74" s="4"/>
    </row>
    <row r="75" spans="1:9" x14ac:dyDescent="0.25">
      <c r="A75" s="17"/>
      <c r="B75" s="4" t="s">
        <v>610</v>
      </c>
      <c r="C75" s="6" t="s">
        <v>611</v>
      </c>
      <c r="D75" s="24">
        <f>D50+D40*D55</f>
        <v>543.92</v>
      </c>
      <c r="E75" s="4"/>
      <c r="F75" s="4"/>
      <c r="G75" s="24">
        <f>G50+G40*G55</f>
        <v>136</v>
      </c>
      <c r="H75" s="4"/>
      <c r="I75" s="4"/>
    </row>
    <row r="76" spans="1:9" x14ac:dyDescent="0.25">
      <c r="A76" s="17"/>
      <c r="B76" s="4" t="s">
        <v>612</v>
      </c>
      <c r="C76" s="6" t="s">
        <v>613</v>
      </c>
      <c r="D76" s="24">
        <f>IF(D44&gt;0,D16/D44,0)</f>
        <v>128</v>
      </c>
      <c r="E76" s="4"/>
      <c r="F76" s="4"/>
      <c r="G76" s="24">
        <f>IF(G44&gt;0,G16/G44,0)</f>
        <v>0</v>
      </c>
      <c r="H76" s="4"/>
      <c r="I76" s="4"/>
    </row>
    <row r="77" spans="1:9" x14ac:dyDescent="0.25">
      <c r="A77" s="17"/>
      <c r="B77" s="4" t="s">
        <v>614</v>
      </c>
      <c r="C77" s="6" t="s">
        <v>615</v>
      </c>
      <c r="D77" s="12" t="str">
        <f>IF(AND(D44&gt;0,D76&gt;D14),"YES","No")</f>
        <v>No</v>
      </c>
      <c r="E77" s="4"/>
      <c r="F77" s="4"/>
      <c r="G77" s="12" t="str">
        <f>IF(AND(G44&gt;0,G76&gt;G14),"YES","No")</f>
        <v>No</v>
      </c>
      <c r="H77" s="4"/>
      <c r="I77" s="4"/>
    </row>
    <row r="78" spans="1:9" x14ac:dyDescent="0.25">
      <c r="A78" s="17"/>
      <c r="B78" s="4" t="s">
        <v>616</v>
      </c>
      <c r="C78" s="6" t="s">
        <v>617</v>
      </c>
      <c r="D78" s="24">
        <f>IF(D44&gt;0,D17/D44,0)</f>
        <v>145.92</v>
      </c>
      <c r="E78" s="4"/>
      <c r="F78" s="4"/>
      <c r="G78" s="24">
        <f>IF(G44&gt;0,G17/G44,0)</f>
        <v>0</v>
      </c>
      <c r="H78" s="4"/>
      <c r="I78" s="4"/>
    </row>
    <row r="79" spans="1:9" x14ac:dyDescent="0.25">
      <c r="A79" s="17"/>
      <c r="B79" s="4" t="s">
        <v>618</v>
      </c>
      <c r="C79" s="6" t="s">
        <v>619</v>
      </c>
      <c r="D79" s="24">
        <f>ROUND(D16+D18+D19-D17,2)</f>
        <v>0</v>
      </c>
      <c r="E79" s="4"/>
      <c r="F79" s="4"/>
      <c r="G79" s="24">
        <f>ROUND(G16+G18+G19-G17,2)</f>
        <v>0</v>
      </c>
      <c r="H79" s="4"/>
      <c r="I79" s="4"/>
    </row>
    <row r="80" spans="1:9" x14ac:dyDescent="0.25">
      <c r="A80" s="17"/>
      <c r="B80" s="4" t="s">
        <v>620</v>
      </c>
      <c r="C80" s="6" t="s">
        <v>621</v>
      </c>
      <c r="D80" s="24">
        <f>D46+D58+D59+D61+D60</f>
        <v>535.6</v>
      </c>
      <c r="E80" s="4"/>
      <c r="F80" s="4"/>
      <c r="G80" s="24">
        <f>G46+G58+G59+G61+G60</f>
        <v>96</v>
      </c>
      <c r="H80" s="4"/>
      <c r="I80" s="4"/>
    </row>
    <row r="82" spans="1:13" x14ac:dyDescent="0.25">
      <c r="A82" s="3" t="s">
        <v>622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9" x14ac:dyDescent="0.25">
      <c r="A83" s="16" t="s">
        <v>517</v>
      </c>
      <c r="B83" s="16" t="s">
        <v>518</v>
      </c>
      <c r="C83" s="16" t="s">
        <v>519</v>
      </c>
      <c r="D83" s="16" t="s">
        <v>816</v>
      </c>
      <c r="E83" s="16" t="s">
        <v>624</v>
      </c>
      <c r="F83" s="16" t="s">
        <v>625</v>
      </c>
      <c r="G83" s="16" t="s">
        <v>817</v>
      </c>
      <c r="H83" s="16" t="s">
        <v>624</v>
      </c>
      <c r="I83" s="16" t="s">
        <v>625</v>
      </c>
    </row>
    <row r="84" spans="1:9" x14ac:dyDescent="0.25">
      <c r="A84" s="17" t="s">
        <v>626</v>
      </c>
      <c r="B84" s="4" t="s">
        <v>61</v>
      </c>
      <c r="C84" s="6" t="s">
        <v>627</v>
      </c>
      <c r="D84" s="18">
        <f>D44</f>
        <v>1</v>
      </c>
      <c r="E84" s="26"/>
      <c r="F84" s="27" t="str">
        <f>IF(E84="","",IF(ABS(E84-D84)&lt;=Setup!$C$6,"PASS","FAIL"))</f>
        <v/>
      </c>
      <c r="G84" s="18">
        <f>G44</f>
        <v>0</v>
      </c>
      <c r="H84" s="26"/>
      <c r="I84" s="27" t="str">
        <f>IF(H84="","",IF(ABS(H84-G84)&lt;=Setup!$C$6,"PASS","FAIL"))</f>
        <v/>
      </c>
    </row>
    <row r="85" spans="1:9" x14ac:dyDescent="0.25">
      <c r="A85" s="17" t="s">
        <v>628</v>
      </c>
      <c r="B85" s="4" t="s">
        <v>571</v>
      </c>
      <c r="C85" s="6" t="s">
        <v>627</v>
      </c>
      <c r="D85" s="18">
        <f>D45</f>
        <v>0</v>
      </c>
      <c r="E85" s="26"/>
      <c r="F85" s="27" t="str">
        <f>IF(E85="","",IF(ABS(E85-D85)&lt;=Setup!$C$6,"PASS","FAIL"))</f>
        <v/>
      </c>
      <c r="G85" s="18">
        <f>G45</f>
        <v>0</v>
      </c>
      <c r="H85" s="26"/>
      <c r="I85" s="27" t="str">
        <f>IF(H85="","",IF(ABS(H85-G85)&lt;=Setup!$C$6,"PASS","FAIL"))</f>
        <v/>
      </c>
    </row>
    <row r="86" spans="1:9" x14ac:dyDescent="0.25">
      <c r="A86" s="17" t="s">
        <v>629</v>
      </c>
      <c r="B86" s="4" t="s">
        <v>630</v>
      </c>
      <c r="C86" s="6" t="s">
        <v>627</v>
      </c>
      <c r="D86" s="24">
        <f>D46</f>
        <v>96</v>
      </c>
      <c r="E86" s="28"/>
      <c r="F86" s="27" t="str">
        <f>IF(E86="","",IF(ABS(E86-D86)&lt;=Setup!$C$6,"PASS","FAIL"))</f>
        <v/>
      </c>
      <c r="G86" s="24">
        <f>G46</f>
        <v>96</v>
      </c>
      <c r="H86" s="28"/>
      <c r="I86" s="27" t="str">
        <f>IF(H86="","",IF(ABS(H86-G86)&lt;=Setup!$C$6,"PASS","FAIL"))</f>
        <v/>
      </c>
    </row>
    <row r="87" spans="1:9" x14ac:dyDescent="0.25">
      <c r="A87" s="17" t="s">
        <v>631</v>
      </c>
      <c r="B87" s="4" t="s">
        <v>66</v>
      </c>
      <c r="C87" s="6" t="s">
        <v>627</v>
      </c>
      <c r="D87" s="24">
        <f>D48</f>
        <v>485.92</v>
      </c>
      <c r="E87" s="28"/>
      <c r="F87" s="27" t="str">
        <f>IF(E87="","",IF(ABS(E87-D87)&lt;=Setup!$C$6,"PASS","FAIL"))</f>
        <v/>
      </c>
      <c r="G87" s="24">
        <f>G48</f>
        <v>96</v>
      </c>
      <c r="H87" s="28"/>
      <c r="I87" s="27" t="str">
        <f>IF(H87="","",IF(ABS(H87-G87)&lt;=Setup!$C$6,"PASS","FAIL"))</f>
        <v/>
      </c>
    </row>
    <row r="88" spans="1:9" x14ac:dyDescent="0.25">
      <c r="A88" s="17" t="s">
        <v>632</v>
      </c>
      <c r="B88" s="4" t="s">
        <v>68</v>
      </c>
      <c r="C88" s="6" t="s">
        <v>627</v>
      </c>
      <c r="D88" s="24">
        <f>D50</f>
        <v>543.92</v>
      </c>
      <c r="E88" s="28"/>
      <c r="F88" s="27" t="str">
        <f>IF(E88="","",IF(ABS(E88-D88)&lt;=Setup!$C$6,"PASS","FAIL"))</f>
        <v/>
      </c>
      <c r="G88" s="24">
        <f>G50</f>
        <v>136</v>
      </c>
      <c r="H88" s="28"/>
      <c r="I88" s="27" t="str">
        <f>IF(H88="","",IF(ABS(H88-G88)&lt;=Setup!$C$6,"PASS","FAIL"))</f>
        <v/>
      </c>
    </row>
    <row r="89" spans="1:9" x14ac:dyDescent="0.25">
      <c r="A89" s="17" t="s">
        <v>633</v>
      </c>
      <c r="B89" s="4" t="s">
        <v>634</v>
      </c>
      <c r="C89" s="6" t="s">
        <v>635</v>
      </c>
      <c r="D89" s="24">
        <f>D75</f>
        <v>543.92</v>
      </c>
      <c r="E89" s="28"/>
      <c r="F89" s="27" t="str">
        <f>IF(E89="","",IF(ABS(E89-D89)&lt;=Setup!$C$6,"PASS","FAIL"))</f>
        <v/>
      </c>
      <c r="G89" s="24">
        <f>G75</f>
        <v>136</v>
      </c>
      <c r="H89" s="28"/>
      <c r="I89" s="27" t="str">
        <f>IF(H89="","",IF(ABS(H89-G89)&lt;=Setup!$C$6,"PASS","FAIL"))</f>
        <v/>
      </c>
    </row>
    <row r="90" spans="1:9" x14ac:dyDescent="0.25">
      <c r="A90" s="17" t="s">
        <v>636</v>
      </c>
      <c r="B90" s="4" t="s">
        <v>66</v>
      </c>
      <c r="C90" s="6" t="s">
        <v>88</v>
      </c>
      <c r="D90" s="24">
        <f>D48</f>
        <v>485.92</v>
      </c>
      <c r="E90" s="28"/>
      <c r="F90" s="27" t="str">
        <f>IF(E90="","",IF(ABS(E90-D90)&lt;=Setup!$C$6,"PASS","FAIL"))</f>
        <v/>
      </c>
      <c r="G90" s="24">
        <f>G48</f>
        <v>96</v>
      </c>
      <c r="H90" s="28"/>
      <c r="I90" s="27" t="str">
        <f>IF(H90="","",IF(ABS(H90-G90)&lt;=Setup!$C$6,"PASS","FAIL"))</f>
        <v/>
      </c>
    </row>
    <row r="91" spans="1:9" x14ac:dyDescent="0.25">
      <c r="A91" s="17" t="s">
        <v>637</v>
      </c>
      <c r="B91" s="4" t="s">
        <v>68</v>
      </c>
      <c r="C91" s="6" t="s">
        <v>88</v>
      </c>
      <c r="D91" s="24">
        <f>D50</f>
        <v>543.92</v>
      </c>
      <c r="E91" s="28"/>
      <c r="F91" s="27" t="str">
        <f>IF(E91="","",IF(ABS(E91-D91)&lt;=Setup!$C$6,"PASS","FAIL"))</f>
        <v/>
      </c>
      <c r="G91" s="24">
        <f>G50</f>
        <v>136</v>
      </c>
      <c r="H91" s="28"/>
      <c r="I91" s="27" t="str">
        <f>IF(H91="","",IF(ABS(H91-G91)&lt;=Setup!$C$6,"PASS","FAIL"))</f>
        <v/>
      </c>
    </row>
    <row r="92" spans="1:9" x14ac:dyDescent="0.25">
      <c r="A92" s="17" t="s">
        <v>638</v>
      </c>
      <c r="B92" s="4" t="s">
        <v>71</v>
      </c>
      <c r="C92" s="6" t="s">
        <v>639</v>
      </c>
      <c r="D92" s="24">
        <f>D55</f>
        <v>240</v>
      </c>
      <c r="E92" s="28"/>
      <c r="F92" s="27" t="str">
        <f>IF(E92="","",IF(ABS(E92-D92)&lt;=Setup!$C$6,"PASS","FAIL"))</f>
        <v/>
      </c>
      <c r="G92" s="24">
        <f>G55</f>
        <v>0</v>
      </c>
      <c r="H92" s="28"/>
      <c r="I92" s="27" t="str">
        <f>IF(H92="","",IF(ABS(H92-G92)&lt;=Setup!$C$6,"PASS","FAIL"))</f>
        <v/>
      </c>
    </row>
    <row r="93" spans="1:9" x14ac:dyDescent="0.25">
      <c r="A93" s="17" t="s">
        <v>640</v>
      </c>
      <c r="B93" s="4" t="s">
        <v>586</v>
      </c>
      <c r="C93" s="6" t="s">
        <v>88</v>
      </c>
      <c r="D93" s="24">
        <f>D56</f>
        <v>783.92</v>
      </c>
      <c r="E93" s="28"/>
      <c r="F93" s="27" t="str">
        <f>IF(E93="","",IF(ABS(E93-D93)&lt;=Setup!$C$6,"PASS","FAIL"))</f>
        <v/>
      </c>
      <c r="G93" s="24">
        <f>G56</f>
        <v>136</v>
      </c>
      <c r="H93" s="28"/>
      <c r="I93" s="27" t="str">
        <f>IF(H93="","",IF(ABS(H93-G93)&lt;=Setup!$C$6,"PASS","FAIL"))</f>
        <v/>
      </c>
    </row>
    <row r="94" spans="1:9" x14ac:dyDescent="0.25">
      <c r="A94" s="17" t="s">
        <v>641</v>
      </c>
      <c r="B94" s="4" t="s">
        <v>74</v>
      </c>
      <c r="C94" s="6" t="s">
        <v>88</v>
      </c>
      <c r="D94" s="24">
        <f>D72</f>
        <v>600.99</v>
      </c>
      <c r="E94" s="28"/>
      <c r="F94" s="27" t="str">
        <f>IF(E94="","",IF(ABS(E94-D94)&lt;=Setup!$C$6,"PASS","FAIL"))</f>
        <v/>
      </c>
      <c r="G94" s="24">
        <f>G72</f>
        <v>141.1</v>
      </c>
      <c r="H94" s="28"/>
      <c r="I94" s="27" t="str">
        <f>IF(H94="","",IF(ABS(H94-G94)&lt;=Setup!$C$6,"PASS","FAIL"))</f>
        <v/>
      </c>
    </row>
    <row r="95" spans="1:9" x14ac:dyDescent="0.25">
      <c r="A95" s="17" t="s">
        <v>642</v>
      </c>
      <c r="B95" s="4" t="s">
        <v>76</v>
      </c>
      <c r="C95" s="6" t="s">
        <v>88</v>
      </c>
      <c r="D95" s="24">
        <f>D73</f>
        <v>840.99</v>
      </c>
      <c r="E95" s="28"/>
      <c r="F95" s="27" t="str">
        <f>IF(E95="","",IF(ABS(E95-D95)&lt;=Setup!$C$6,"PASS","FAIL"))</f>
        <v/>
      </c>
      <c r="G95" s="24">
        <f>G73</f>
        <v>141.1</v>
      </c>
      <c r="H95" s="28"/>
      <c r="I95" s="27" t="str">
        <f>IF(H95="","",IF(ABS(H95-G95)&lt;=Setup!$C$6,"PASS","FAIL"))</f>
        <v/>
      </c>
    </row>
    <row r="96" spans="1:9" x14ac:dyDescent="0.25">
      <c r="A96" s="17" t="s">
        <v>759</v>
      </c>
      <c r="B96" s="4" t="s">
        <v>580</v>
      </c>
      <c r="C96" s="6" t="s">
        <v>760</v>
      </c>
      <c r="D96" s="24">
        <f>D51</f>
        <v>240</v>
      </c>
      <c r="E96" s="28"/>
      <c r="F96" s="27" t="str">
        <f>IF(E96="","",IF(ABS(E96-D96)&lt;=Setup!$C$6,"PASS","FAIL"))</f>
        <v/>
      </c>
      <c r="G96" s="24">
        <f>G51</f>
        <v>0</v>
      </c>
      <c r="H96" s="28"/>
      <c r="I96" s="27" t="str">
        <f>IF(H96="","",IF(ABS(H96-G96)&lt;=Setup!$C$6,"PASS","FAIL"))</f>
        <v/>
      </c>
    </row>
    <row r="97" spans="1:9" x14ac:dyDescent="0.25">
      <c r="A97" s="17" t="s">
        <v>643</v>
      </c>
      <c r="B97" s="4" t="s">
        <v>644</v>
      </c>
      <c r="C97" s="6" t="s">
        <v>645</v>
      </c>
      <c r="D97" s="24">
        <f>D58</f>
        <v>164.51</v>
      </c>
      <c r="E97" s="28"/>
      <c r="F97" s="27" t="str">
        <f>IF(E97="","",IF(ABS(E97-D97)&lt;=Setup!$C$6,"PASS","FAIL"))</f>
        <v/>
      </c>
      <c r="G97" s="24">
        <f>G58</f>
        <v>0</v>
      </c>
      <c r="H97" s="28"/>
      <c r="I97" s="27" t="str">
        <f>IF(H97="","",IF(ABS(H97-G97)&lt;=Setup!$C$6,"PASS","FAIL"))</f>
        <v/>
      </c>
    </row>
    <row r="98" spans="1:9" x14ac:dyDescent="0.25">
      <c r="A98" s="17" t="s">
        <v>761</v>
      </c>
      <c r="B98" s="4" t="s">
        <v>762</v>
      </c>
      <c r="C98" s="6" t="s">
        <v>645</v>
      </c>
      <c r="D98" s="24">
        <f>D59</f>
        <v>275.09</v>
      </c>
      <c r="E98" s="28"/>
      <c r="F98" s="27" t="str">
        <f>IF(E98="","",IF(ABS(E98-D98)&lt;=Setup!$C$6,"PASS","FAIL"))</f>
        <v/>
      </c>
      <c r="G98" s="24">
        <f>G59</f>
        <v>0</v>
      </c>
      <c r="H98" s="28"/>
      <c r="I98" s="27" t="str">
        <f>IF(H98="","",IF(ABS(H98-G98)&lt;=Setup!$C$6,"PASS","FAIL"))</f>
        <v/>
      </c>
    </row>
    <row r="99" spans="1:9" x14ac:dyDescent="0.25">
      <c r="A99" s="17" t="s">
        <v>794</v>
      </c>
      <c r="B99" s="4" t="s">
        <v>795</v>
      </c>
      <c r="C99" s="6" t="s">
        <v>645</v>
      </c>
      <c r="D99" s="24">
        <f>D66</f>
        <v>65.39</v>
      </c>
      <c r="E99" s="28"/>
      <c r="F99" s="27" t="str">
        <f>IF(E99="","",IF(ABS(E99-D99)&lt;=Setup!$C$6,"PASS","FAIL"))</f>
        <v/>
      </c>
      <c r="G99" s="24">
        <f>G66</f>
        <v>45.1</v>
      </c>
      <c r="H99" s="28"/>
      <c r="I99" s="27" t="str">
        <f>IF(H99="","",IF(ABS(H99-G99)&lt;=Setup!$C$6,"PASS","FAIL"))</f>
        <v/>
      </c>
    </row>
    <row r="100" spans="1:9" x14ac:dyDescent="0.25">
      <c r="A100" s="17" t="s">
        <v>654</v>
      </c>
      <c r="B100" s="4" t="s">
        <v>655</v>
      </c>
      <c r="C100" s="6" t="s">
        <v>656</v>
      </c>
      <c r="D100" s="24">
        <f>D56</f>
        <v>783.92</v>
      </c>
      <c r="E100" s="28"/>
      <c r="F100" s="27" t="str">
        <f>IF(E100="","",IF(ABS(E100-D100)&lt;=Setup!$C$6,"PASS","FAIL"))</f>
        <v/>
      </c>
      <c r="G100" s="24">
        <f>G56</f>
        <v>136</v>
      </c>
      <c r="H100" s="28"/>
      <c r="I100" s="27" t="str">
        <f>IF(H100="","",IF(ABS(H100-G100)&lt;=Setup!$C$6,"PASS","FAIL"))</f>
        <v/>
      </c>
    </row>
    <row r="101" spans="1:9" x14ac:dyDescent="0.25">
      <c r="A101" s="17" t="s">
        <v>657</v>
      </c>
      <c r="B101" s="4" t="s">
        <v>658</v>
      </c>
      <c r="C101" s="6" t="s">
        <v>659</v>
      </c>
      <c r="D101" s="24">
        <f>D73</f>
        <v>840.99</v>
      </c>
      <c r="E101" s="28"/>
      <c r="F101" s="27" t="str">
        <f>IF(E101="","",IF(ABS(E101-D101)&lt;=Setup!$C$6,"PASS","FAIL"))</f>
        <v/>
      </c>
      <c r="G101" s="24">
        <f>G73</f>
        <v>141.1</v>
      </c>
      <c r="H101" s="28"/>
      <c r="I101" s="27" t="str">
        <f>IF(H101="","",IF(ABS(H101-G101)&lt;=Setup!$C$6,"PASS","FAIL"))</f>
        <v/>
      </c>
    </row>
    <row r="102" spans="1:9" x14ac:dyDescent="0.25">
      <c r="A102" s="17" t="s">
        <v>660</v>
      </c>
      <c r="B102" s="4" t="s">
        <v>66</v>
      </c>
      <c r="C102" s="6" t="s">
        <v>93</v>
      </c>
      <c r="D102" s="24">
        <f>D80</f>
        <v>535.6</v>
      </c>
      <c r="E102" s="28"/>
      <c r="F102" s="27" t="str">
        <f>IF(E102="","",IF(ABS(E102-D102)&lt;=Setup!$C$6,"PASS","FAIL"))</f>
        <v/>
      </c>
      <c r="G102" s="24">
        <f>G80</f>
        <v>96</v>
      </c>
      <c r="H102" s="28"/>
      <c r="I102" s="27" t="str">
        <f>IF(H102="","",IF(ABS(H102-G102)&lt;=Setup!$C$6,"PASS","FAIL"))</f>
        <v/>
      </c>
    </row>
    <row r="103" spans="1:9" x14ac:dyDescent="0.25">
      <c r="A103" s="17" t="s">
        <v>661</v>
      </c>
      <c r="B103" s="4" t="s">
        <v>68</v>
      </c>
      <c r="C103" s="6" t="s">
        <v>93</v>
      </c>
      <c r="D103" s="24">
        <f>D72</f>
        <v>600.99</v>
      </c>
      <c r="E103" s="28"/>
      <c r="F103" s="27" t="str">
        <f>IF(E103="","",IF(ABS(E103-D103)&lt;=Setup!$C$6,"PASS","FAIL"))</f>
        <v/>
      </c>
      <c r="G103" s="24">
        <f>G72</f>
        <v>141.1</v>
      </c>
      <c r="H103" s="28"/>
      <c r="I103" s="27" t="str">
        <f>IF(H103="","",IF(ABS(H103-G103)&lt;=Setup!$C$6,"PASS","FAIL"))</f>
        <v/>
      </c>
    </row>
    <row r="104" spans="1:9" x14ac:dyDescent="0.25">
      <c r="A104" s="17" t="s">
        <v>662</v>
      </c>
      <c r="B104" s="4" t="s">
        <v>71</v>
      </c>
      <c r="C104" s="6" t="s">
        <v>93</v>
      </c>
      <c r="D104" s="24">
        <f>D55</f>
        <v>240</v>
      </c>
      <c r="E104" s="28"/>
      <c r="F104" s="27" t="str">
        <f>IF(E104="","",IF(ABS(E104-D104)&lt;=Setup!$C$6,"PASS","FAIL"))</f>
        <v/>
      </c>
      <c r="G104" s="24">
        <f>G55</f>
        <v>0</v>
      </c>
      <c r="H104" s="28"/>
      <c r="I104" s="27" t="str">
        <f>IF(H104="","",IF(ABS(H104-G104)&lt;=Setup!$C$6,"PASS","FAIL"))</f>
        <v/>
      </c>
    </row>
    <row r="105" spans="1:9" x14ac:dyDescent="0.25">
      <c r="A105" s="17" t="s">
        <v>663</v>
      </c>
      <c r="B105" s="4" t="s">
        <v>664</v>
      </c>
      <c r="C105" s="6" t="s">
        <v>93</v>
      </c>
      <c r="D105" s="24">
        <f>D73</f>
        <v>840.99</v>
      </c>
      <c r="E105" s="28"/>
      <c r="F105" s="27" t="str">
        <f>IF(E105="","",IF(ABS(E105-D105)&lt;=Setup!$C$6,"PASS","FAIL"))</f>
        <v/>
      </c>
      <c r="G105" s="24">
        <f>G73</f>
        <v>141.1</v>
      </c>
      <c r="H105" s="28"/>
      <c r="I105" s="27" t="str">
        <f>IF(H105="","",IF(ABS(H105-G105)&lt;=Setup!$C$6,"PASS","FAIL"))</f>
        <v/>
      </c>
    </row>
    <row r="106" spans="1:9" x14ac:dyDescent="0.25">
      <c r="A106" s="17" t="s">
        <v>665</v>
      </c>
      <c r="B106" s="4" t="s">
        <v>666</v>
      </c>
      <c r="C106" s="6" t="s">
        <v>667</v>
      </c>
      <c r="D106" s="24">
        <f>D76</f>
        <v>128</v>
      </c>
      <c r="E106" s="28"/>
      <c r="F106" s="27" t="str">
        <f>IF(E106="","",IF(ABS(E106-D106)&lt;=Setup!$C$6,"PASS","FAIL"))</f>
        <v/>
      </c>
      <c r="G106" s="24">
        <f>G76</f>
        <v>0</v>
      </c>
      <c r="H106" s="28"/>
      <c r="I106" s="27" t="str">
        <f>IF(H106="","",IF(ABS(H106-G106)&lt;=Setup!$C$6,"PASS","FAIL"))</f>
        <v/>
      </c>
    </row>
    <row r="107" spans="1:9" x14ac:dyDescent="0.25">
      <c r="A107" s="17" t="s">
        <v>668</v>
      </c>
      <c r="B107" s="4" t="s">
        <v>669</v>
      </c>
      <c r="C107" s="6" t="s">
        <v>83</v>
      </c>
      <c r="D107" s="12" t="str">
        <f>D77</f>
        <v>No</v>
      </c>
      <c r="E107" s="9"/>
      <c r="F107" s="27" t="str">
        <f>IF(E107="","",IF(UPPER(E107)=UPPER(D107),"PASS","FAIL"))</f>
        <v/>
      </c>
      <c r="G107" s="12" t="str">
        <f>G77</f>
        <v>No</v>
      </c>
      <c r="H107" s="9"/>
      <c r="I107" s="27" t="str">
        <f>IF(H107="","",IF(UPPER(H107)=UPPER(G107),"PASS","FAIL"))</f>
        <v/>
      </c>
    </row>
    <row r="108" spans="1:9" x14ac:dyDescent="0.25">
      <c r="A108" s="17" t="s">
        <v>670</v>
      </c>
      <c r="B108" s="4" t="s">
        <v>616</v>
      </c>
      <c r="C108" s="6" t="s">
        <v>671</v>
      </c>
      <c r="D108" s="24">
        <f>D78</f>
        <v>145.92</v>
      </c>
      <c r="E108" s="15"/>
      <c r="F108" s="15" t="s">
        <v>672</v>
      </c>
      <c r="G108" s="24">
        <f>G78</f>
        <v>0</v>
      </c>
      <c r="H108" s="15"/>
      <c r="I108" s="15" t="s">
        <v>672</v>
      </c>
    </row>
    <row r="109" spans="2:2" x14ac:dyDescent="0.25">
      <c r="B109" s="2" t="s">
        <v>673</v>
      </c>
    </row>
  </sheetData>
  <mergeCells count="2">
    <mergeCell ref="A2:M2"/>
    <mergeCell ref="A3:M3"/>
  </mergeCells>
  <conditionalFormatting sqref="A1:M109">
    <cfRule type="cellIs" dxfId="42" priority="1" operator="equal">
      <formula>"PASS"</formula>
    </cfRule>
    <cfRule type="cellIs" dxfId="43" priority="2" operator="equal">
      <formula>"OK"</formula>
    </cfRule>
    <cfRule type="cellIs" dxfId="44" priority="3" operator="equal">
      <formula>"Covered"</formula>
    </cfRule>
    <cfRule type="cellIs" dxfId="45" priority="4" operator="equal">
      <formula>"FAIL"</formula>
    </cfRule>
    <cfRule type="cellIs" dxfId="46" priority="5" operator="equal">
      <formula>"CHECK"</formula>
    </cfRule>
    <cfRule type="cellIs" dxfId="47" priority="6" operator="equal">
      <formula>"GAP"</formula>
    </cfRule>
  </conditionalFormatting>
  <pageSetup orientation="landscape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8F82"/>
    <pageSetUpPr fitToPage="1"/>
  </sheetPr>
  <dimension ref="A1:M111"/>
  <sheetViews>
    <sheetView workbookViewId="0" showGridLines="0"/>
  </sheetViews>
  <sheetFormatPr defaultRowHeight="15" outlineLevelRow="0" outlineLevelCol="0" x14ac:dyDescent="55"/>
  <cols>
    <col min="1" max="1" width="8" customWidth="1"/>
    <col min="2" max="2" width="40" customWidth="1"/>
    <col min="3" max="3" width="52" customWidth="1"/>
    <col min="4" max="9" width="15" customWidth="1"/>
    <col min="10" max="13" width="14" customWidth="1"/>
  </cols>
  <sheetData>
    <row r="1" ht="26" customHeight="1" spans="1:1" x14ac:dyDescent="0.25">
      <c r="A1" s="1" t="s">
        <v>818</v>
      </c>
    </row>
    <row r="2" ht="42" customHeight="1" spans="1:13" x14ac:dyDescent="0.25">
      <c r="A2" s="2" t="s">
        <v>144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5">
      <c r="A3" s="2" t="s">
        <v>819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5" spans="1:13" x14ac:dyDescent="0.25">
      <c r="A5" s="3" t="s">
        <v>516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9" x14ac:dyDescent="0.25">
      <c r="A6" s="16" t="s">
        <v>517</v>
      </c>
      <c r="B6" s="16" t="s">
        <v>518</v>
      </c>
      <c r="C6" s="16" t="s">
        <v>519</v>
      </c>
      <c r="D6" s="16" t="s">
        <v>379</v>
      </c>
      <c r="E6" s="16"/>
      <c r="F6" s="16"/>
      <c r="G6" s="16" t="s">
        <v>413</v>
      </c>
      <c r="H6" s="16"/>
      <c r="I6" s="16"/>
    </row>
    <row r="7" spans="1:9" x14ac:dyDescent="0.25">
      <c r="A7" s="17"/>
      <c r="B7" s="4" t="s">
        <v>520</v>
      </c>
      <c r="C7" s="6" t="s">
        <v>521</v>
      </c>
      <c r="D7" s="8" t="s">
        <v>820</v>
      </c>
      <c r="E7" s="4"/>
      <c r="F7" s="4"/>
      <c r="G7" s="8" t="s">
        <v>820</v>
      </c>
      <c r="H7" s="4"/>
      <c r="I7" s="4"/>
    </row>
    <row r="8" spans="1:9" x14ac:dyDescent="0.25">
      <c r="A8" s="17"/>
      <c r="B8" s="4" t="s">
        <v>523</v>
      </c>
      <c r="C8" s="6"/>
      <c r="D8" s="8" t="s">
        <v>821</v>
      </c>
      <c r="E8" s="4"/>
      <c r="F8" s="4"/>
      <c r="G8" s="8" t="s">
        <v>821</v>
      </c>
      <c r="H8" s="4"/>
      <c r="I8" s="4"/>
    </row>
    <row r="9" spans="1:9" x14ac:dyDescent="0.25">
      <c r="A9" s="17"/>
      <c r="B9" s="4" t="s">
        <v>525</v>
      </c>
      <c r="C9" s="6" t="s">
        <v>526</v>
      </c>
      <c r="D9" s="8" t="s">
        <v>757</v>
      </c>
      <c r="E9" s="4"/>
      <c r="F9" s="4"/>
      <c r="G9" s="8" t="s">
        <v>757</v>
      </c>
      <c r="H9" s="4"/>
      <c r="I9" s="4"/>
    </row>
    <row r="10" spans="1:9" x14ac:dyDescent="0.25">
      <c r="A10" s="17"/>
      <c r="B10" s="4" t="s">
        <v>528</v>
      </c>
      <c r="C10" s="6" t="s">
        <v>529</v>
      </c>
      <c r="D10" s="8" t="s">
        <v>530</v>
      </c>
      <c r="E10" s="4"/>
      <c r="F10" s="4"/>
      <c r="G10" s="8" t="s">
        <v>530</v>
      </c>
      <c r="H10" s="4"/>
      <c r="I10" s="4"/>
    </row>
    <row r="11" spans="1:9" x14ac:dyDescent="0.25">
      <c r="A11" s="17"/>
      <c r="B11" s="4" t="s">
        <v>531</v>
      </c>
      <c r="C11" s="6"/>
      <c r="D11" s="20">
        <v>46363</v>
      </c>
      <c r="E11" s="4"/>
      <c r="F11" s="4"/>
      <c r="G11" s="20">
        <v>46363</v>
      </c>
      <c r="H11" s="4"/>
      <c r="I11" s="4"/>
    </row>
    <row r="12" spans="1:9" x14ac:dyDescent="0.25">
      <c r="A12" s="17"/>
      <c r="B12" s="4" t="s">
        <v>532</v>
      </c>
      <c r="C12" s="6"/>
      <c r="D12" s="20">
        <v>46366</v>
      </c>
      <c r="E12" s="4"/>
      <c r="F12" s="4"/>
      <c r="G12" s="20">
        <v>46366</v>
      </c>
      <c r="H12" s="4"/>
      <c r="I12" s="4"/>
    </row>
    <row r="13" spans="1:9" x14ac:dyDescent="0.25">
      <c r="A13" s="17"/>
      <c r="B13" s="4" t="s">
        <v>533</v>
      </c>
      <c r="C13" s="6" t="s">
        <v>534</v>
      </c>
      <c r="D13" s="21">
        <v>2</v>
      </c>
      <c r="E13" s="4"/>
      <c r="F13" s="4"/>
      <c r="G13" s="21">
        <v>2</v>
      </c>
      <c r="H13" s="4"/>
      <c r="I13" s="4"/>
    </row>
    <row r="14" spans="1:9" x14ac:dyDescent="0.25">
      <c r="A14" s="17"/>
      <c r="B14" s="4" t="s">
        <v>535</v>
      </c>
      <c r="C14" s="6" t="s">
        <v>536</v>
      </c>
      <c r="D14" s="7">
        <v>142</v>
      </c>
      <c r="E14" s="4"/>
      <c r="F14" s="4"/>
      <c r="G14" s="7">
        <v>142</v>
      </c>
      <c r="H14" s="4"/>
      <c r="I14" s="4"/>
    </row>
    <row r="15" spans="1:9" x14ac:dyDescent="0.25">
      <c r="A15" s="17"/>
      <c r="B15" s="4" t="s">
        <v>537</v>
      </c>
      <c r="C15" s="6" t="s">
        <v>536</v>
      </c>
      <c r="D15" s="7">
        <v>71</v>
      </c>
      <c r="E15" s="4"/>
      <c r="F15" s="4"/>
      <c r="G15" s="7">
        <v>71</v>
      </c>
      <c r="H15" s="4"/>
      <c r="I15" s="4"/>
    </row>
    <row r="16" spans="1:9" x14ac:dyDescent="0.25">
      <c r="A16" s="17"/>
      <c r="B16" s="4" t="s">
        <v>538</v>
      </c>
      <c r="C16" s="6" t="s">
        <v>539</v>
      </c>
      <c r="D16" s="7">
        <v>396</v>
      </c>
      <c r="E16" s="4"/>
      <c r="F16" s="4"/>
      <c r="G16" s="7">
        <v>396</v>
      </c>
      <c r="H16" s="4"/>
      <c r="I16" s="4"/>
    </row>
    <row r="17" spans="1:9" x14ac:dyDescent="0.25">
      <c r="A17" s="17"/>
      <c r="B17" s="4" t="s">
        <v>540</v>
      </c>
      <c r="C17" s="6" t="s">
        <v>539</v>
      </c>
      <c r="D17" s="7">
        <v>477.46</v>
      </c>
      <c r="E17" s="4"/>
      <c r="F17" s="4"/>
      <c r="G17" s="7">
        <v>477.46</v>
      </c>
      <c r="H17" s="4"/>
      <c r="I17" s="4"/>
    </row>
    <row r="18" spans="1:9" x14ac:dyDescent="0.25">
      <c r="A18" s="17"/>
      <c r="B18" s="4" t="s">
        <v>541</v>
      </c>
      <c r="C18" s="6" t="s">
        <v>542</v>
      </c>
      <c r="D18" s="7">
        <v>28</v>
      </c>
      <c r="E18" s="4"/>
      <c r="F18" s="4"/>
      <c r="G18" s="7">
        <v>28</v>
      </c>
      <c r="H18" s="4"/>
      <c r="I18" s="4"/>
    </row>
    <row r="19" spans="1:9" x14ac:dyDescent="0.25">
      <c r="A19" s="17"/>
      <c r="B19" s="4" t="s">
        <v>543</v>
      </c>
      <c r="C19" s="6" t="s">
        <v>542</v>
      </c>
      <c r="D19" s="7">
        <v>53.46</v>
      </c>
      <c r="E19" s="4"/>
      <c r="F19" s="4"/>
      <c r="G19" s="7">
        <v>53.46</v>
      </c>
      <c r="H19" s="4"/>
      <c r="I19" s="4"/>
    </row>
    <row r="20" spans="1:9" x14ac:dyDescent="0.25">
      <c r="A20" s="17"/>
      <c r="B20" s="4" t="s">
        <v>544</v>
      </c>
      <c r="C20" s="6" t="s">
        <v>545</v>
      </c>
      <c r="D20" s="7">
        <v>640</v>
      </c>
      <c r="E20" s="4"/>
      <c r="F20" s="4"/>
      <c r="G20" s="7">
        <v>512</v>
      </c>
      <c r="H20" s="4"/>
      <c r="I20" s="4"/>
    </row>
    <row r="21" spans="1:9" x14ac:dyDescent="0.25">
      <c r="A21" s="17"/>
      <c r="B21" s="4" t="s">
        <v>546</v>
      </c>
      <c r="C21" s="6" t="s">
        <v>545</v>
      </c>
      <c r="D21" s="7">
        <v>35</v>
      </c>
      <c r="E21" s="4"/>
      <c r="F21" s="4"/>
      <c r="G21" s="7">
        <v>35</v>
      </c>
      <c r="H21" s="4"/>
      <c r="I21" s="4"/>
    </row>
    <row r="22" spans="1:9" x14ac:dyDescent="0.25">
      <c r="A22" s="17"/>
      <c r="B22" s="4" t="s">
        <v>547</v>
      </c>
      <c r="C22" s="6" t="s">
        <v>545</v>
      </c>
      <c r="D22" s="7">
        <v>48</v>
      </c>
      <c r="E22" s="4"/>
      <c r="F22" s="4"/>
      <c r="G22" s="7">
        <v>48</v>
      </c>
      <c r="H22" s="4"/>
      <c r="I22" s="4"/>
    </row>
    <row r="23" spans="1:9" x14ac:dyDescent="0.25">
      <c r="A23" s="17"/>
      <c r="B23" s="4" t="s">
        <v>548</v>
      </c>
      <c r="C23" s="6" t="s">
        <v>549</v>
      </c>
      <c r="D23" s="7">
        <v>0</v>
      </c>
      <c r="E23" s="4"/>
      <c r="F23" s="4"/>
      <c r="G23" s="7">
        <v>0</v>
      </c>
      <c r="H23" s="4"/>
      <c r="I23" s="4"/>
    </row>
    <row r="24" spans="1:9" x14ac:dyDescent="0.25">
      <c r="A24" s="17"/>
      <c r="B24" s="4" t="s">
        <v>550</v>
      </c>
      <c r="C24" s="6" t="s">
        <v>549</v>
      </c>
      <c r="D24" s="7">
        <v>0</v>
      </c>
      <c r="E24" s="4"/>
      <c r="F24" s="4"/>
      <c r="G24" s="7">
        <v>0</v>
      </c>
      <c r="H24" s="4"/>
      <c r="I24" s="4"/>
    </row>
    <row r="25" spans="1:9" x14ac:dyDescent="0.25">
      <c r="A25" s="17"/>
      <c r="B25" s="4" t="s">
        <v>551</v>
      </c>
      <c r="C25" s="6" t="s">
        <v>549</v>
      </c>
      <c r="D25" s="7">
        <v>0</v>
      </c>
      <c r="E25" s="4"/>
      <c r="F25" s="4"/>
      <c r="G25" s="7">
        <v>0</v>
      </c>
      <c r="H25" s="4"/>
      <c r="I25" s="4"/>
    </row>
    <row r="26" spans="1:9" x14ac:dyDescent="0.25">
      <c r="A26" s="17"/>
      <c r="B26" s="4" t="s">
        <v>552</v>
      </c>
      <c r="C26" s="6" t="s">
        <v>549</v>
      </c>
      <c r="D26" s="7">
        <v>0</v>
      </c>
      <c r="E26" s="4"/>
      <c r="F26" s="4"/>
      <c r="G26" s="7">
        <v>0</v>
      </c>
      <c r="H26" s="4"/>
      <c r="I26" s="4"/>
    </row>
    <row r="27" spans="1:9" x14ac:dyDescent="0.25">
      <c r="A27" s="17"/>
      <c r="B27" s="4" t="s">
        <v>553</v>
      </c>
      <c r="C27" s="6" t="s">
        <v>549</v>
      </c>
      <c r="D27" s="7">
        <v>0</v>
      </c>
      <c r="E27" s="4"/>
      <c r="F27" s="4"/>
      <c r="G27" s="7">
        <v>0</v>
      </c>
      <c r="H27" s="4"/>
      <c r="I27" s="4"/>
    </row>
    <row r="28" spans="1:9" x14ac:dyDescent="0.25">
      <c r="A28" s="17"/>
      <c r="B28" s="4" t="s">
        <v>554</v>
      </c>
      <c r="C28" s="6" t="s">
        <v>549</v>
      </c>
      <c r="D28" s="7">
        <v>0</v>
      </c>
      <c r="E28" s="4"/>
      <c r="F28" s="4"/>
      <c r="G28" s="7">
        <v>0</v>
      </c>
      <c r="H28" s="4"/>
      <c r="I28" s="4"/>
    </row>
    <row r="29" spans="1:9" x14ac:dyDescent="0.25">
      <c r="A29" s="17"/>
      <c r="B29" s="4" t="s">
        <v>555</v>
      </c>
      <c r="C29" s="6" t="s">
        <v>549</v>
      </c>
      <c r="D29" s="7">
        <v>96</v>
      </c>
      <c r="E29" s="4"/>
      <c r="F29" s="4"/>
      <c r="G29" s="7">
        <v>96</v>
      </c>
      <c r="H29" s="4"/>
      <c r="I29" s="4"/>
    </row>
    <row r="30" spans="1:9" x14ac:dyDescent="0.25">
      <c r="A30" s="17"/>
      <c r="B30" s="4" t="s">
        <v>556</v>
      </c>
      <c r="C30" s="6" t="s">
        <v>549</v>
      </c>
      <c r="D30" s="7">
        <v>0</v>
      </c>
      <c r="E30" s="4"/>
      <c r="F30" s="4"/>
      <c r="G30" s="7">
        <v>0</v>
      </c>
      <c r="H30" s="4"/>
      <c r="I30" s="4"/>
    </row>
    <row r="31" spans="1:9" x14ac:dyDescent="0.25">
      <c r="A31" s="4"/>
      <c r="B31" s="22" t="s">
        <v>557</v>
      </c>
      <c r="C31" s="22"/>
      <c r="D31" s="22"/>
      <c r="E31" s="22"/>
      <c r="F31" s="22"/>
      <c r="G31" s="22"/>
      <c r="H31" s="22"/>
      <c r="I31" s="22"/>
    </row>
    <row r="32" spans="1:9" x14ac:dyDescent="0.25">
      <c r="A32" s="17"/>
      <c r="B32" s="4" t="s">
        <v>558</v>
      </c>
      <c r="C32" s="6" t="s">
        <v>559</v>
      </c>
      <c r="D32" s="7">
        <v>45</v>
      </c>
      <c r="E32" s="4"/>
      <c r="F32" s="4"/>
      <c r="G32" s="7">
        <v>45</v>
      </c>
      <c r="H32" s="4"/>
      <c r="I32" s="4"/>
    </row>
    <row r="33" spans="1:9" x14ac:dyDescent="0.25">
      <c r="A33" s="17"/>
      <c r="B33" s="4" t="s">
        <v>560</v>
      </c>
      <c r="C33" s="6"/>
      <c r="D33" s="23">
        <v>10</v>
      </c>
      <c r="E33" s="4"/>
      <c r="F33" s="4"/>
      <c r="G33" s="23">
        <v>10</v>
      </c>
      <c r="H33" s="4"/>
      <c r="I33" s="4"/>
    </row>
    <row r="34" spans="1:9" x14ac:dyDescent="0.25">
      <c r="A34" s="17"/>
      <c r="B34" s="4" t="s">
        <v>561</v>
      </c>
      <c r="C34" s="6"/>
      <c r="D34" s="7">
        <v>0</v>
      </c>
      <c r="E34" s="4"/>
      <c r="F34" s="4"/>
      <c r="G34" s="7">
        <v>0</v>
      </c>
      <c r="H34" s="4"/>
      <c r="I34" s="4"/>
    </row>
    <row r="35" spans="1:9" x14ac:dyDescent="0.25">
      <c r="A35" s="17"/>
      <c r="B35" s="4" t="s">
        <v>562</v>
      </c>
      <c r="C35" s="6"/>
      <c r="D35" s="23">
        <v>0</v>
      </c>
      <c r="E35" s="4"/>
      <c r="F35" s="4"/>
      <c r="G35" s="23">
        <v>0</v>
      </c>
      <c r="H35" s="4"/>
      <c r="I35" s="4"/>
    </row>
    <row r="36" spans="1:9" x14ac:dyDescent="0.25">
      <c r="A36" s="17"/>
      <c r="B36" s="4" t="s">
        <v>563</v>
      </c>
      <c r="C36" s="6"/>
      <c r="D36" s="7">
        <v>0</v>
      </c>
      <c r="E36" s="4"/>
      <c r="F36" s="4"/>
      <c r="G36" s="7">
        <v>0</v>
      </c>
      <c r="H36" s="4"/>
      <c r="I36" s="4"/>
    </row>
    <row r="37" spans="1:9" x14ac:dyDescent="0.25">
      <c r="A37" s="17"/>
      <c r="B37" s="4" t="s">
        <v>564</v>
      </c>
      <c r="C37" s="6"/>
      <c r="D37" s="23">
        <v>0</v>
      </c>
      <c r="E37" s="4"/>
      <c r="F37" s="4"/>
      <c r="G37" s="23">
        <v>0</v>
      </c>
      <c r="H37" s="4"/>
      <c r="I37" s="4"/>
    </row>
    <row r="38" spans="1:9" x14ac:dyDescent="0.25">
      <c r="A38" s="17"/>
      <c r="B38" s="4" t="s">
        <v>565</v>
      </c>
      <c r="C38" s="6"/>
      <c r="D38" s="7">
        <v>0</v>
      </c>
      <c r="E38" s="4"/>
      <c r="F38" s="4"/>
      <c r="G38" s="7">
        <v>0</v>
      </c>
      <c r="H38" s="4"/>
      <c r="I38" s="4"/>
    </row>
    <row r="39" spans="1:9" x14ac:dyDescent="0.25">
      <c r="A39" s="17"/>
      <c r="B39" s="4" t="s">
        <v>566</v>
      </c>
      <c r="C39" s="6"/>
      <c r="D39" s="23">
        <v>0</v>
      </c>
      <c r="E39" s="4"/>
      <c r="F39" s="4"/>
      <c r="G39" s="23">
        <v>0</v>
      </c>
      <c r="H39" s="4"/>
      <c r="I39" s="4"/>
    </row>
    <row r="40" spans="1:9" x14ac:dyDescent="0.25">
      <c r="A40" s="17"/>
      <c r="B40" s="4" t="s">
        <v>567</v>
      </c>
      <c r="C40" s="6" t="s">
        <v>568</v>
      </c>
      <c r="D40" s="21">
        <v>0</v>
      </c>
      <c r="E40" s="4"/>
      <c r="F40" s="4"/>
      <c r="G40" s="21">
        <v>1</v>
      </c>
      <c r="H40" s="4"/>
      <c r="I40" s="4"/>
    </row>
    <row r="42" spans="1:13" x14ac:dyDescent="0.25">
      <c r="A42" s="3" t="s">
        <v>569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9" x14ac:dyDescent="0.25">
      <c r="A43" s="16" t="s">
        <v>517</v>
      </c>
      <c r="B43" s="16" t="s">
        <v>518</v>
      </c>
      <c r="C43" s="16" t="s">
        <v>519</v>
      </c>
      <c r="D43" s="16" t="s">
        <v>379</v>
      </c>
      <c r="E43" s="16"/>
      <c r="F43" s="16"/>
      <c r="G43" s="16" t="s">
        <v>413</v>
      </c>
      <c r="H43" s="16"/>
      <c r="I43" s="16"/>
    </row>
    <row r="44" spans="1:9" x14ac:dyDescent="0.25">
      <c r="A44" s="17"/>
      <c r="B44" s="4" t="s">
        <v>61</v>
      </c>
      <c r="C44" s="6" t="s">
        <v>570</v>
      </c>
      <c r="D44" s="18">
        <f>MAX(0,D12-D11)</f>
        <v>3</v>
      </c>
      <c r="E44" s="4"/>
      <c r="F44" s="4"/>
      <c r="G44" s="18">
        <f>MAX(0,G12-G11)</f>
        <v>3</v>
      </c>
      <c r="H44" s="4"/>
      <c r="I44" s="4"/>
    </row>
    <row r="45" spans="1:9" x14ac:dyDescent="0.25">
      <c r="A45" s="17"/>
      <c r="B45" s="4" t="s">
        <v>571</v>
      </c>
      <c r="C45" s="6" t="s">
        <v>572</v>
      </c>
      <c r="D45" s="18">
        <f>MAX(D44-1,0)</f>
        <v>2</v>
      </c>
      <c r="E45" s="4"/>
      <c r="F45" s="4"/>
      <c r="G45" s="18">
        <f>MAX(G44-1,0)</f>
        <v>2</v>
      </c>
      <c r="H45" s="4"/>
      <c r="I45" s="4"/>
    </row>
    <row r="46" spans="1:9" x14ac:dyDescent="0.25">
      <c r="A46" s="17"/>
      <c r="B46" s="4" t="s">
        <v>573</v>
      </c>
      <c r="C46" s="6" t="s">
        <v>574</v>
      </c>
      <c r="D46" s="24">
        <f>1.5*D15+D45*D15</f>
        <v>248.5</v>
      </c>
      <c r="E46" s="4"/>
      <c r="F46" s="4"/>
      <c r="G46" s="24">
        <f>1.5*G15+G45*G15</f>
        <v>248.5</v>
      </c>
      <c r="H46" s="4"/>
      <c r="I46" s="4"/>
    </row>
    <row r="47" spans="1:9" x14ac:dyDescent="0.25">
      <c r="A47" s="17"/>
      <c r="B47" s="4" t="s">
        <v>575</v>
      </c>
      <c r="C47" s="6" t="s">
        <v>576</v>
      </c>
      <c r="D47" s="24">
        <f>D17+D20+D22+D21</f>
        <v>1200.46</v>
      </c>
      <c r="E47" s="4"/>
      <c r="F47" s="4"/>
      <c r="G47" s="24">
        <f>G17+G20+G22+G21</f>
        <v>1072.46</v>
      </c>
      <c r="H47" s="4"/>
      <c r="I47" s="4"/>
    </row>
    <row r="48" spans="1:9" x14ac:dyDescent="0.25">
      <c r="A48" s="17"/>
      <c r="B48" s="10" t="s">
        <v>66</v>
      </c>
      <c r="C48" s="6" t="s">
        <v>577</v>
      </c>
      <c r="D48" s="25">
        <f>D46+D47</f>
        <v>1448.96</v>
      </c>
      <c r="E48" s="4"/>
      <c r="F48" s="4"/>
      <c r="G48" s="25">
        <f>G46+G47</f>
        <v>1320.96</v>
      </c>
      <c r="H48" s="4"/>
      <c r="I48" s="4"/>
    </row>
    <row r="49" spans="1:9" x14ac:dyDescent="0.25">
      <c r="A49" s="17"/>
      <c r="B49" s="4" t="s">
        <v>578</v>
      </c>
      <c r="C49" s="6" t="s">
        <v>579</v>
      </c>
      <c r="D49" s="24">
        <f>D25+D26+D27+D28+D29+D30+D23+D24</f>
        <v>96</v>
      </c>
      <c r="E49" s="4"/>
      <c r="F49" s="4"/>
      <c r="G49" s="24">
        <f>G25+G26+G27+G28+G29+G30+G23+G24</f>
        <v>96</v>
      </c>
      <c r="H49" s="4"/>
      <c r="I49" s="4"/>
    </row>
    <row r="50" spans="1:9" x14ac:dyDescent="0.25">
      <c r="A50" s="17"/>
      <c r="B50" s="10" t="s">
        <v>68</v>
      </c>
      <c r="C50" s="6" t="s">
        <v>69</v>
      </c>
      <c r="D50" s="25">
        <f>D48*D13+D49</f>
        <v>2993.92</v>
      </c>
      <c r="E50" s="4"/>
      <c r="F50" s="4"/>
      <c r="G50" s="25">
        <f>G48*G13+G49</f>
        <v>2737.92</v>
      </c>
      <c r="H50" s="4"/>
      <c r="I50" s="4"/>
    </row>
    <row r="51" spans="1:9" x14ac:dyDescent="0.25">
      <c r="A51" s="17"/>
      <c r="B51" s="4" t="s">
        <v>580</v>
      </c>
      <c r="C51" s="6" t="s">
        <v>581</v>
      </c>
      <c r="D51" s="24">
        <f>IF(1&lt;=D13,D32*D33,0)</f>
        <v>450</v>
      </c>
      <c r="E51" s="4"/>
      <c r="F51" s="4"/>
      <c r="G51" s="24">
        <f>IF(1&lt;=G13,G32*G33,0)</f>
        <v>450</v>
      </c>
      <c r="H51" s="4"/>
      <c r="I51" s="4"/>
    </row>
    <row r="52" spans="1:9" x14ac:dyDescent="0.25">
      <c r="A52" s="17"/>
      <c r="B52" s="4" t="s">
        <v>582</v>
      </c>
      <c r="C52" s="6" t="s">
        <v>581</v>
      </c>
      <c r="D52" s="24">
        <f>IF(2&lt;=D13,D34*D35,0)</f>
        <v>0</v>
      </c>
      <c r="E52" s="4"/>
      <c r="F52" s="4"/>
      <c r="G52" s="24">
        <f>IF(2&lt;=G13,G34*G35,0)</f>
        <v>0</v>
      </c>
      <c r="H52" s="4"/>
      <c r="I52" s="4"/>
    </row>
    <row r="53" spans="1:9" x14ac:dyDescent="0.25">
      <c r="A53" s="17"/>
      <c r="B53" s="4" t="s">
        <v>583</v>
      </c>
      <c r="C53" s="6" t="s">
        <v>581</v>
      </c>
      <c r="D53" s="24">
        <f>IF(3&lt;=D13,D36*D37,0)</f>
        <v>0</v>
      </c>
      <c r="E53" s="4"/>
      <c r="F53" s="4"/>
      <c r="G53" s="24">
        <f>IF(3&lt;=G13,G36*G37,0)</f>
        <v>0</v>
      </c>
      <c r="H53" s="4"/>
      <c r="I53" s="4"/>
    </row>
    <row r="54" spans="1:9" x14ac:dyDescent="0.25">
      <c r="A54" s="17"/>
      <c r="B54" s="4" t="s">
        <v>584</v>
      </c>
      <c r="C54" s="6" t="s">
        <v>581</v>
      </c>
      <c r="D54" s="24">
        <f>IF(4&lt;=D13,D38*D39,0)</f>
        <v>0</v>
      </c>
      <c r="E54" s="4"/>
      <c r="F54" s="4"/>
      <c r="G54" s="24">
        <f>IF(4&lt;=G13,G38*G39,0)</f>
        <v>0</v>
      </c>
      <c r="H54" s="4"/>
      <c r="I54" s="4"/>
    </row>
    <row r="55" spans="1:9" x14ac:dyDescent="0.25">
      <c r="A55" s="17"/>
      <c r="B55" s="10" t="s">
        <v>71</v>
      </c>
      <c r="C55" s="6" t="s">
        <v>585</v>
      </c>
      <c r="D55" s="25">
        <f>SUM(D51:D54)</f>
        <v>450</v>
      </c>
      <c r="E55" s="4"/>
      <c r="F55" s="4"/>
      <c r="G55" s="25">
        <f>SUM(G51:G54)</f>
        <v>450</v>
      </c>
      <c r="H55" s="4"/>
      <c r="I55" s="4"/>
    </row>
    <row r="56" spans="1:9" x14ac:dyDescent="0.25">
      <c r="A56" s="17"/>
      <c r="B56" s="10" t="s">
        <v>586</v>
      </c>
      <c r="C56" s="6" t="s">
        <v>587</v>
      </c>
      <c r="D56" s="25">
        <f>D50+D55</f>
        <v>3443.92</v>
      </c>
      <c r="E56" s="4"/>
      <c r="F56" s="4"/>
      <c r="G56" s="25">
        <f>G50+G55</f>
        <v>3187.92</v>
      </c>
      <c r="H56" s="4"/>
      <c r="I56" s="4"/>
    </row>
    <row r="57" spans="1:9" x14ac:dyDescent="0.25">
      <c r="A57" s="4"/>
      <c r="B57" s="22" t="s">
        <v>588</v>
      </c>
      <c r="C57" s="22" t="s">
        <v>589</v>
      </c>
      <c r="D57" s="22"/>
      <c r="E57" s="22"/>
      <c r="F57" s="22"/>
      <c r="G57" s="22"/>
      <c r="H57" s="22"/>
      <c r="I57" s="22"/>
    </row>
    <row r="58" spans="1:9" x14ac:dyDescent="0.25">
      <c r="A58" s="17"/>
      <c r="B58" s="4" t="s">
        <v>590</v>
      </c>
      <c r="C58" s="6" t="s">
        <v>591</v>
      </c>
      <c r="D58" s="24">
        <f>ROUND(D17*Setup!$C$5,2)</f>
        <v>538.29</v>
      </c>
      <c r="E58" s="4"/>
      <c r="F58" s="4"/>
      <c r="G58" s="24">
        <f>ROUND(G17*Setup!$C$5,2)</f>
        <v>538.29</v>
      </c>
      <c r="H58" s="4"/>
      <c r="I58" s="4"/>
    </row>
    <row r="59" spans="1:9" x14ac:dyDescent="0.25">
      <c r="A59" s="17"/>
      <c r="B59" s="4" t="s">
        <v>544</v>
      </c>
      <c r="C59" s="6" t="s">
        <v>592</v>
      </c>
      <c r="D59" s="24">
        <f>ROUND(D20*Setup!$C$5,2)</f>
        <v>721.54</v>
      </c>
      <c r="E59" s="4"/>
      <c r="F59" s="4"/>
      <c r="G59" s="24">
        <f>ROUND(G20*Setup!$C$5,2)</f>
        <v>577.23</v>
      </c>
      <c r="H59" s="4"/>
      <c r="I59" s="4"/>
    </row>
    <row r="60" spans="1:9" x14ac:dyDescent="0.25">
      <c r="A60" s="17"/>
      <c r="B60" s="4" t="s">
        <v>546</v>
      </c>
      <c r="C60" s="6" t="s">
        <v>593</v>
      </c>
      <c r="D60" s="24">
        <f>ROUND(D21*Setup!$C$5,2)</f>
        <v>39.46</v>
      </c>
      <c r="E60" s="4"/>
      <c r="F60" s="4"/>
      <c r="G60" s="24">
        <f>ROUND(G21*Setup!$C$5,2)</f>
        <v>39.46</v>
      </c>
      <c r="H60" s="4"/>
      <c r="I60" s="4"/>
    </row>
    <row r="61" spans="1:9" x14ac:dyDescent="0.25">
      <c r="A61" s="17"/>
      <c r="B61" s="4" t="s">
        <v>547</v>
      </c>
      <c r="C61" s="6" t="s">
        <v>594</v>
      </c>
      <c r="D61" s="24">
        <f>ROUND(D22*Setup!$C$5,2)</f>
        <v>54.12</v>
      </c>
      <c r="E61" s="4"/>
      <c r="F61" s="4"/>
      <c r="G61" s="24">
        <f>ROUND(G22*Setup!$C$5,2)</f>
        <v>54.12</v>
      </c>
      <c r="H61" s="4"/>
      <c r="I61" s="4"/>
    </row>
    <row r="62" spans="1:9" x14ac:dyDescent="0.25">
      <c r="A62" s="17"/>
      <c r="B62" s="4" t="s">
        <v>551</v>
      </c>
      <c r="C62" s="6" t="s">
        <v>595</v>
      </c>
      <c r="D62" s="24">
        <f>ROUND(D25*Setup!$C$5,2)</f>
        <v>0</v>
      </c>
      <c r="E62" s="4"/>
      <c r="F62" s="4"/>
      <c r="G62" s="24">
        <f>ROUND(G25*Setup!$C$5,2)</f>
        <v>0</v>
      </c>
      <c r="H62" s="4"/>
      <c r="I62" s="4"/>
    </row>
    <row r="63" spans="1:9" x14ac:dyDescent="0.25">
      <c r="A63" s="17"/>
      <c r="B63" s="4" t="s">
        <v>552</v>
      </c>
      <c r="C63" s="6" t="s">
        <v>596</v>
      </c>
      <c r="D63" s="24">
        <f>ROUND(D26*Setup!$C$5,2)</f>
        <v>0</v>
      </c>
      <c r="E63" s="4"/>
      <c r="F63" s="4"/>
      <c r="G63" s="24">
        <f>ROUND(G26*Setup!$C$5,2)</f>
        <v>0</v>
      </c>
      <c r="H63" s="4"/>
      <c r="I63" s="4"/>
    </row>
    <row r="64" spans="1:9" x14ac:dyDescent="0.25">
      <c r="A64" s="17"/>
      <c r="B64" s="4" t="s">
        <v>553</v>
      </c>
      <c r="C64" s="6" t="s">
        <v>597</v>
      </c>
      <c r="D64" s="24">
        <f>ROUND(D27*Setup!$C$5,2)</f>
        <v>0</v>
      </c>
      <c r="E64" s="4"/>
      <c r="F64" s="4"/>
      <c r="G64" s="24">
        <f>ROUND(G27*Setup!$C$5,2)</f>
        <v>0</v>
      </c>
      <c r="H64" s="4"/>
      <c r="I64" s="4"/>
    </row>
    <row r="65" spans="1:9" x14ac:dyDescent="0.25">
      <c r="A65" s="17"/>
      <c r="B65" s="4" t="s">
        <v>554</v>
      </c>
      <c r="C65" s="6" t="s">
        <v>598</v>
      </c>
      <c r="D65" s="24">
        <f>ROUND(D28*Setup!$C$5,2)</f>
        <v>0</v>
      </c>
      <c r="E65" s="4"/>
      <c r="F65" s="4"/>
      <c r="G65" s="24">
        <f>ROUND(G28*Setup!$C$5,2)</f>
        <v>0</v>
      </c>
      <c r="H65" s="4"/>
      <c r="I65" s="4"/>
    </row>
    <row r="66" spans="1:9" x14ac:dyDescent="0.25">
      <c r="A66" s="17"/>
      <c r="B66" s="4" t="s">
        <v>555</v>
      </c>
      <c r="C66" s="6" t="s">
        <v>599</v>
      </c>
      <c r="D66" s="24">
        <f>ROUND(D29*Setup!$C$5,2)</f>
        <v>108.23</v>
      </c>
      <c r="E66" s="4"/>
      <c r="F66" s="4"/>
      <c r="G66" s="24">
        <f>ROUND(G29*Setup!$C$5,2)</f>
        <v>108.23</v>
      </c>
      <c r="H66" s="4"/>
      <c r="I66" s="4"/>
    </row>
    <row r="67" spans="1:9" x14ac:dyDescent="0.25">
      <c r="A67" s="17"/>
      <c r="B67" s="4" t="s">
        <v>556</v>
      </c>
      <c r="C67" s="6" t="s">
        <v>600</v>
      </c>
      <c r="D67" s="24">
        <f>ROUND(D30*Setup!$C$5,2)</f>
        <v>0</v>
      </c>
      <c r="E67" s="4"/>
      <c r="F67" s="4"/>
      <c r="G67" s="24">
        <f>ROUND(G30*Setup!$C$5,2)</f>
        <v>0</v>
      </c>
      <c r="H67" s="4"/>
      <c r="I67" s="4"/>
    </row>
    <row r="68" spans="1:9" x14ac:dyDescent="0.25">
      <c r="A68" s="17"/>
      <c r="B68" s="4" t="s">
        <v>548</v>
      </c>
      <c r="C68" s="6" t="s">
        <v>601</v>
      </c>
      <c r="D68" s="24">
        <f>ROUND(D23*Setup!$C$5,2)</f>
        <v>0</v>
      </c>
      <c r="E68" s="4"/>
      <c r="F68" s="4"/>
      <c r="G68" s="24">
        <f>ROUND(G23*Setup!$C$5,2)</f>
        <v>0</v>
      </c>
      <c r="H68" s="4"/>
      <c r="I68" s="4"/>
    </row>
    <row r="69" spans="1:9" x14ac:dyDescent="0.25">
      <c r="A69" s="17"/>
      <c r="B69" s="4" t="s">
        <v>550</v>
      </c>
      <c r="C69" s="6" t="s">
        <v>602</v>
      </c>
      <c r="D69" s="24">
        <f>ROUND(D24*Setup!$C$5,2)</f>
        <v>0</v>
      </c>
      <c r="E69" s="4"/>
      <c r="F69" s="4"/>
      <c r="G69" s="24">
        <f>ROUND(G24*Setup!$C$5,2)</f>
        <v>0</v>
      </c>
      <c r="H69" s="4"/>
      <c r="I69" s="4"/>
    </row>
    <row r="70" spans="1:9" x14ac:dyDescent="0.25">
      <c r="A70" s="17"/>
      <c r="B70" s="4" t="s">
        <v>603</v>
      </c>
      <c r="C70" s="6" t="s">
        <v>604</v>
      </c>
      <c r="D70" s="24">
        <f>(D58+D59+D61+D60)*D13+D62+D63+D64+D65+D66+D67+D68+D69</f>
        <v>2815.05</v>
      </c>
      <c r="E70" s="4"/>
      <c r="F70" s="4"/>
      <c r="G70" s="24">
        <f>(G58+G59+G61+G60)*G13+G62+G63+G64+G65+G66+G67+G68+G69</f>
        <v>2526.43</v>
      </c>
      <c r="H70" s="4"/>
      <c r="I70" s="4"/>
    </row>
    <row r="71" spans="1:9" x14ac:dyDescent="0.25">
      <c r="A71" s="17"/>
      <c r="B71" s="4" t="s">
        <v>605</v>
      </c>
      <c r="C71" s="6" t="s">
        <v>606</v>
      </c>
      <c r="D71" s="24">
        <f>D46*D13</f>
        <v>497</v>
      </c>
      <c r="E71" s="4"/>
      <c r="F71" s="4"/>
      <c r="G71" s="24">
        <f>G46*G13</f>
        <v>497</v>
      </c>
      <c r="H71" s="4"/>
      <c r="I71" s="4"/>
    </row>
    <row r="72" spans="1:9" x14ac:dyDescent="0.25">
      <c r="A72" s="17"/>
      <c r="B72" s="10" t="s">
        <v>74</v>
      </c>
      <c r="C72" s="6" t="s">
        <v>607</v>
      </c>
      <c r="D72" s="25">
        <f>D70+D71</f>
        <v>3312.05</v>
      </c>
      <c r="E72" s="4"/>
      <c r="F72" s="4"/>
      <c r="G72" s="25">
        <f>G70+G71</f>
        <v>3023.43</v>
      </c>
      <c r="H72" s="4"/>
      <c r="I72" s="4"/>
    </row>
    <row r="73" spans="1:9" x14ac:dyDescent="0.25">
      <c r="A73" s="17"/>
      <c r="B73" s="10" t="s">
        <v>76</v>
      </c>
      <c r="C73" s="6" t="s">
        <v>77</v>
      </c>
      <c r="D73" s="25">
        <f>D72+D55</f>
        <v>3762.05</v>
      </c>
      <c r="E73" s="4"/>
      <c r="F73" s="4"/>
      <c r="G73" s="25">
        <f>G72+G55</f>
        <v>3473.43</v>
      </c>
      <c r="H73" s="4"/>
      <c r="I73" s="4"/>
    </row>
    <row r="74" spans="1:9" x14ac:dyDescent="0.25">
      <c r="A74" s="17"/>
      <c r="B74" s="4" t="s">
        <v>608</v>
      </c>
      <c r="C74" s="6" t="s">
        <v>609</v>
      </c>
      <c r="D74" s="24">
        <f>D73-D56</f>
        <v>318.13</v>
      </c>
      <c r="E74" s="4"/>
      <c r="F74" s="4"/>
      <c r="G74" s="24">
        <f>G73-G56</f>
        <v>285.51</v>
      </c>
      <c r="H74" s="4"/>
      <c r="I74" s="4"/>
    </row>
    <row r="75" spans="1:9" x14ac:dyDescent="0.25">
      <c r="A75" s="17"/>
      <c r="B75" s="4" t="s">
        <v>610</v>
      </c>
      <c r="C75" s="6" t="s">
        <v>611</v>
      </c>
      <c r="D75" s="24">
        <f>D50+D40*D55</f>
        <v>2993.92</v>
      </c>
      <c r="E75" s="4"/>
      <c r="F75" s="4"/>
      <c r="G75" s="24">
        <f>G50+G40*G55</f>
        <v>3187.92</v>
      </c>
      <c r="H75" s="4"/>
      <c r="I75" s="4"/>
    </row>
    <row r="76" spans="1:9" x14ac:dyDescent="0.25">
      <c r="A76" s="17"/>
      <c r="B76" s="4" t="s">
        <v>612</v>
      </c>
      <c r="C76" s="6" t="s">
        <v>613</v>
      </c>
      <c r="D76" s="24">
        <f>IF(D44&gt;0,D16/D44,0)</f>
        <v>132</v>
      </c>
      <c r="E76" s="4"/>
      <c r="F76" s="4"/>
      <c r="G76" s="24">
        <f>IF(G44&gt;0,G16/G44,0)</f>
        <v>132</v>
      </c>
      <c r="H76" s="4"/>
      <c r="I76" s="4"/>
    </row>
    <row r="77" spans="1:9" x14ac:dyDescent="0.25">
      <c r="A77" s="17"/>
      <c r="B77" s="4" t="s">
        <v>614</v>
      </c>
      <c r="C77" s="6" t="s">
        <v>615</v>
      </c>
      <c r="D77" s="12" t="str">
        <f>IF(AND(D44&gt;0,D76&gt;D14),"YES","No")</f>
        <v>No</v>
      </c>
      <c r="E77" s="4"/>
      <c r="F77" s="4"/>
      <c r="G77" s="12" t="str">
        <f>IF(AND(G44&gt;0,G76&gt;G14),"YES","No")</f>
        <v>No</v>
      </c>
      <c r="H77" s="4"/>
      <c r="I77" s="4"/>
    </row>
    <row r="78" spans="1:9" x14ac:dyDescent="0.25">
      <c r="A78" s="17"/>
      <c r="B78" s="4" t="s">
        <v>616</v>
      </c>
      <c r="C78" s="6" t="s">
        <v>617</v>
      </c>
      <c r="D78" s="24">
        <f>IF(D44&gt;0,D17/D44,0)</f>
        <v>159.15333333</v>
      </c>
      <c r="E78" s="4"/>
      <c r="F78" s="4"/>
      <c r="G78" s="24">
        <f>IF(G44&gt;0,G17/G44,0)</f>
        <v>159.15333333</v>
      </c>
      <c r="H78" s="4"/>
      <c r="I78" s="4"/>
    </row>
    <row r="79" spans="1:9" x14ac:dyDescent="0.25">
      <c r="A79" s="17"/>
      <c r="B79" s="4" t="s">
        <v>618</v>
      </c>
      <c r="C79" s="6" t="s">
        <v>619</v>
      </c>
      <c r="D79" s="24">
        <f>ROUND(D16+D18+D19-D17,2)</f>
        <v>0</v>
      </c>
      <c r="E79" s="4"/>
      <c r="F79" s="4"/>
      <c r="G79" s="24">
        <f>ROUND(G16+G18+G19-G17,2)</f>
        <v>0</v>
      </c>
      <c r="H79" s="4"/>
      <c r="I79" s="4"/>
    </row>
    <row r="80" spans="1:9" x14ac:dyDescent="0.25">
      <c r="A80" s="17"/>
      <c r="B80" s="4" t="s">
        <v>620</v>
      </c>
      <c r="C80" s="6" t="s">
        <v>621</v>
      </c>
      <c r="D80" s="24">
        <f>D46+D58+D59+D61+D60</f>
        <v>1601.91</v>
      </c>
      <c r="E80" s="4"/>
      <c r="F80" s="4"/>
      <c r="G80" s="24">
        <f>G46+G58+G59+G61+G60</f>
        <v>1457.6</v>
      </c>
      <c r="H80" s="4"/>
      <c r="I80" s="4"/>
    </row>
    <row r="82" spans="1:13" x14ac:dyDescent="0.25">
      <c r="A82" s="3" t="s">
        <v>622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9" x14ac:dyDescent="0.25">
      <c r="A83" s="16" t="s">
        <v>517</v>
      </c>
      <c r="B83" s="16" t="s">
        <v>518</v>
      </c>
      <c r="C83" s="16" t="s">
        <v>519</v>
      </c>
      <c r="D83" s="16" t="s">
        <v>822</v>
      </c>
      <c r="E83" s="16" t="s">
        <v>624</v>
      </c>
      <c r="F83" s="16" t="s">
        <v>625</v>
      </c>
      <c r="G83" s="16" t="s">
        <v>823</v>
      </c>
      <c r="H83" s="16" t="s">
        <v>624</v>
      </c>
      <c r="I83" s="16" t="s">
        <v>625</v>
      </c>
    </row>
    <row r="84" spans="1:9" x14ac:dyDescent="0.25">
      <c r="A84" s="17" t="s">
        <v>626</v>
      </c>
      <c r="B84" s="4" t="s">
        <v>61</v>
      </c>
      <c r="C84" s="6" t="s">
        <v>627</v>
      </c>
      <c r="D84" s="18">
        <f>D44</f>
        <v>3</v>
      </c>
      <c r="E84" s="26"/>
      <c r="F84" s="27" t="str">
        <f>IF(E84="","",IF(ABS(E84-D84)&lt;=Setup!$C$6,"PASS","FAIL"))</f>
        <v/>
      </c>
      <c r="G84" s="18">
        <f>G44</f>
        <v>3</v>
      </c>
      <c r="H84" s="26"/>
      <c r="I84" s="27" t="str">
        <f>IF(H84="","",IF(ABS(H84-G84)&lt;=Setup!$C$6,"PASS","FAIL"))</f>
        <v/>
      </c>
    </row>
    <row r="85" spans="1:9" x14ac:dyDescent="0.25">
      <c r="A85" s="17" t="s">
        <v>628</v>
      </c>
      <c r="B85" s="4" t="s">
        <v>571</v>
      </c>
      <c r="C85" s="6" t="s">
        <v>627</v>
      </c>
      <c r="D85" s="18">
        <f>D45</f>
        <v>2</v>
      </c>
      <c r="E85" s="26"/>
      <c r="F85" s="27" t="str">
        <f>IF(E85="","",IF(ABS(E85-D85)&lt;=Setup!$C$6,"PASS","FAIL"))</f>
        <v/>
      </c>
      <c r="G85" s="18">
        <f>G45</f>
        <v>2</v>
      </c>
      <c r="H85" s="26"/>
      <c r="I85" s="27" t="str">
        <f>IF(H85="","",IF(ABS(H85-G85)&lt;=Setup!$C$6,"PASS","FAIL"))</f>
        <v/>
      </c>
    </row>
    <row r="86" spans="1:9" x14ac:dyDescent="0.25">
      <c r="A86" s="17" t="s">
        <v>629</v>
      </c>
      <c r="B86" s="4" t="s">
        <v>630</v>
      </c>
      <c r="C86" s="6" t="s">
        <v>627</v>
      </c>
      <c r="D86" s="24">
        <f>D46</f>
        <v>248.5</v>
      </c>
      <c r="E86" s="28"/>
      <c r="F86" s="27" t="str">
        <f>IF(E86="","",IF(ABS(E86-D86)&lt;=Setup!$C$6,"PASS","FAIL"))</f>
        <v/>
      </c>
      <c r="G86" s="24">
        <f>G46</f>
        <v>248.5</v>
      </c>
      <c r="H86" s="28"/>
      <c r="I86" s="27" t="str">
        <f>IF(H86="","",IF(ABS(H86-G86)&lt;=Setup!$C$6,"PASS","FAIL"))</f>
        <v/>
      </c>
    </row>
    <row r="87" spans="1:9" x14ac:dyDescent="0.25">
      <c r="A87" s="17" t="s">
        <v>631</v>
      </c>
      <c r="B87" s="4" t="s">
        <v>66</v>
      </c>
      <c r="C87" s="6" t="s">
        <v>627</v>
      </c>
      <c r="D87" s="24">
        <f>D48</f>
        <v>1448.96</v>
      </c>
      <c r="E87" s="28"/>
      <c r="F87" s="27" t="str">
        <f>IF(E87="","",IF(ABS(E87-D87)&lt;=Setup!$C$6,"PASS","FAIL"))</f>
        <v/>
      </c>
      <c r="G87" s="24">
        <f>G48</f>
        <v>1320.96</v>
      </c>
      <c r="H87" s="28"/>
      <c r="I87" s="27" t="str">
        <f>IF(H87="","",IF(ABS(H87-G87)&lt;=Setup!$C$6,"PASS","FAIL"))</f>
        <v/>
      </c>
    </row>
    <row r="88" spans="1:9" x14ac:dyDescent="0.25">
      <c r="A88" s="17" t="s">
        <v>632</v>
      </c>
      <c r="B88" s="4" t="s">
        <v>68</v>
      </c>
      <c r="C88" s="6" t="s">
        <v>627</v>
      </c>
      <c r="D88" s="24">
        <f>D50</f>
        <v>2993.92</v>
      </c>
      <c r="E88" s="28"/>
      <c r="F88" s="27" t="str">
        <f>IF(E88="","",IF(ABS(E88-D88)&lt;=Setup!$C$6,"PASS","FAIL"))</f>
        <v/>
      </c>
      <c r="G88" s="24">
        <f>G50</f>
        <v>2737.92</v>
      </c>
      <c r="H88" s="28"/>
      <c r="I88" s="27" t="str">
        <f>IF(H88="","",IF(ABS(H88-G88)&lt;=Setup!$C$6,"PASS","FAIL"))</f>
        <v/>
      </c>
    </row>
    <row r="89" spans="1:9" x14ac:dyDescent="0.25">
      <c r="A89" s="17" t="s">
        <v>633</v>
      </c>
      <c r="B89" s="4" t="s">
        <v>634</v>
      </c>
      <c r="C89" s="6" t="s">
        <v>635</v>
      </c>
      <c r="D89" s="24">
        <f>D75</f>
        <v>2993.92</v>
      </c>
      <c r="E89" s="28"/>
      <c r="F89" s="27" t="str">
        <f>IF(E89="","",IF(ABS(E89-D89)&lt;=Setup!$C$6,"PASS","FAIL"))</f>
        <v/>
      </c>
      <c r="G89" s="24">
        <f>G75</f>
        <v>3187.92</v>
      </c>
      <c r="H89" s="28"/>
      <c r="I89" s="27" t="str">
        <f>IF(H89="","",IF(ABS(H89-G89)&lt;=Setup!$C$6,"PASS","FAIL"))</f>
        <v/>
      </c>
    </row>
    <row r="90" spans="1:9" x14ac:dyDescent="0.25">
      <c r="A90" s="17" t="s">
        <v>636</v>
      </c>
      <c r="B90" s="4" t="s">
        <v>66</v>
      </c>
      <c r="C90" s="6" t="s">
        <v>88</v>
      </c>
      <c r="D90" s="24">
        <f>D48</f>
        <v>1448.96</v>
      </c>
      <c r="E90" s="28"/>
      <c r="F90" s="27" t="str">
        <f>IF(E90="","",IF(ABS(E90-D90)&lt;=Setup!$C$6,"PASS","FAIL"))</f>
        <v/>
      </c>
      <c r="G90" s="24">
        <f>G48</f>
        <v>1320.96</v>
      </c>
      <c r="H90" s="28"/>
      <c r="I90" s="27" t="str">
        <f>IF(H90="","",IF(ABS(H90-G90)&lt;=Setup!$C$6,"PASS","FAIL"))</f>
        <v/>
      </c>
    </row>
    <row r="91" spans="1:9" x14ac:dyDescent="0.25">
      <c r="A91" s="17" t="s">
        <v>637</v>
      </c>
      <c r="B91" s="4" t="s">
        <v>68</v>
      </c>
      <c r="C91" s="6" t="s">
        <v>88</v>
      </c>
      <c r="D91" s="24">
        <f>D50</f>
        <v>2993.92</v>
      </c>
      <c r="E91" s="28"/>
      <c r="F91" s="27" t="str">
        <f>IF(E91="","",IF(ABS(E91-D91)&lt;=Setup!$C$6,"PASS","FAIL"))</f>
        <v/>
      </c>
      <c r="G91" s="24">
        <f>G50</f>
        <v>2737.92</v>
      </c>
      <c r="H91" s="28"/>
      <c r="I91" s="27" t="str">
        <f>IF(H91="","",IF(ABS(H91-G91)&lt;=Setup!$C$6,"PASS","FAIL"))</f>
        <v/>
      </c>
    </row>
    <row r="92" spans="1:9" x14ac:dyDescent="0.25">
      <c r="A92" s="17" t="s">
        <v>638</v>
      </c>
      <c r="B92" s="4" t="s">
        <v>71</v>
      </c>
      <c r="C92" s="6" t="s">
        <v>639</v>
      </c>
      <c r="D92" s="24">
        <f>D55</f>
        <v>450</v>
      </c>
      <c r="E92" s="28"/>
      <c r="F92" s="27" t="str">
        <f>IF(E92="","",IF(ABS(E92-D92)&lt;=Setup!$C$6,"PASS","FAIL"))</f>
        <v/>
      </c>
      <c r="G92" s="24">
        <f>G55</f>
        <v>450</v>
      </c>
      <c r="H92" s="28"/>
      <c r="I92" s="27" t="str">
        <f>IF(H92="","",IF(ABS(H92-G92)&lt;=Setup!$C$6,"PASS","FAIL"))</f>
        <v/>
      </c>
    </row>
    <row r="93" spans="1:9" x14ac:dyDescent="0.25">
      <c r="A93" s="17" t="s">
        <v>640</v>
      </c>
      <c r="B93" s="4" t="s">
        <v>586</v>
      </c>
      <c r="C93" s="6" t="s">
        <v>88</v>
      </c>
      <c r="D93" s="24">
        <f>D56</f>
        <v>3443.92</v>
      </c>
      <c r="E93" s="28"/>
      <c r="F93" s="27" t="str">
        <f>IF(E93="","",IF(ABS(E93-D93)&lt;=Setup!$C$6,"PASS","FAIL"))</f>
        <v/>
      </c>
      <c r="G93" s="24">
        <f>G56</f>
        <v>3187.92</v>
      </c>
      <c r="H93" s="28"/>
      <c r="I93" s="27" t="str">
        <f>IF(H93="","",IF(ABS(H93-G93)&lt;=Setup!$C$6,"PASS","FAIL"))</f>
        <v/>
      </c>
    </row>
    <row r="94" spans="1:9" x14ac:dyDescent="0.25">
      <c r="A94" s="17" t="s">
        <v>641</v>
      </c>
      <c r="B94" s="4" t="s">
        <v>74</v>
      </c>
      <c r="C94" s="6" t="s">
        <v>88</v>
      </c>
      <c r="D94" s="24">
        <f>D72</f>
        <v>3312.05</v>
      </c>
      <c r="E94" s="28"/>
      <c r="F94" s="27" t="str">
        <f>IF(E94="","",IF(ABS(E94-D94)&lt;=Setup!$C$6,"PASS","FAIL"))</f>
        <v/>
      </c>
      <c r="G94" s="24">
        <f>G72</f>
        <v>3023.43</v>
      </c>
      <c r="H94" s="28"/>
      <c r="I94" s="27" t="str">
        <f>IF(H94="","",IF(ABS(H94-G94)&lt;=Setup!$C$6,"PASS","FAIL"))</f>
        <v/>
      </c>
    </row>
    <row r="95" spans="1:9" x14ac:dyDescent="0.25">
      <c r="A95" s="17" t="s">
        <v>642</v>
      </c>
      <c r="B95" s="4" t="s">
        <v>76</v>
      </c>
      <c r="C95" s="6" t="s">
        <v>88</v>
      </c>
      <c r="D95" s="24">
        <f>D73</f>
        <v>3762.05</v>
      </c>
      <c r="E95" s="28"/>
      <c r="F95" s="27" t="str">
        <f>IF(E95="","",IF(ABS(E95-D95)&lt;=Setup!$C$6,"PASS","FAIL"))</f>
        <v/>
      </c>
      <c r="G95" s="24">
        <f>G73</f>
        <v>3473.43</v>
      </c>
      <c r="H95" s="28"/>
      <c r="I95" s="27" t="str">
        <f>IF(H95="","",IF(ABS(H95-G95)&lt;=Setup!$C$6,"PASS","FAIL"))</f>
        <v/>
      </c>
    </row>
    <row r="96" spans="1:9" x14ac:dyDescent="0.25">
      <c r="A96" s="17" t="s">
        <v>759</v>
      </c>
      <c r="B96" s="4" t="s">
        <v>580</v>
      </c>
      <c r="C96" s="6" t="s">
        <v>760</v>
      </c>
      <c r="D96" s="24">
        <f>D51</f>
        <v>450</v>
      </c>
      <c r="E96" s="28"/>
      <c r="F96" s="27" t="str">
        <f>IF(E96="","",IF(ABS(E96-D96)&lt;=Setup!$C$6,"PASS","FAIL"))</f>
        <v/>
      </c>
      <c r="G96" s="24">
        <f>G51</f>
        <v>450</v>
      </c>
      <c r="H96" s="28"/>
      <c r="I96" s="27" t="str">
        <f>IF(H96="","",IF(ABS(H96-G96)&lt;=Setup!$C$6,"PASS","FAIL"))</f>
        <v/>
      </c>
    </row>
    <row r="97" spans="1:9" x14ac:dyDescent="0.25">
      <c r="A97" s="17" t="s">
        <v>643</v>
      </c>
      <c r="B97" s="4" t="s">
        <v>644</v>
      </c>
      <c r="C97" s="6" t="s">
        <v>645</v>
      </c>
      <c r="D97" s="24">
        <f>D58</f>
        <v>538.29</v>
      </c>
      <c r="E97" s="28"/>
      <c r="F97" s="27" t="str">
        <f>IF(E97="","",IF(ABS(E97-D97)&lt;=Setup!$C$6,"PASS","FAIL"))</f>
        <v/>
      </c>
      <c r="G97" s="24">
        <f>G58</f>
        <v>538.29</v>
      </c>
      <c r="H97" s="28"/>
      <c r="I97" s="27" t="str">
        <f>IF(H97="","",IF(ABS(H97-G97)&lt;=Setup!$C$6,"PASS","FAIL"))</f>
        <v/>
      </c>
    </row>
    <row r="98" spans="1:9" x14ac:dyDescent="0.25">
      <c r="A98" s="17" t="s">
        <v>761</v>
      </c>
      <c r="B98" s="4" t="s">
        <v>762</v>
      </c>
      <c r="C98" s="6" t="s">
        <v>645</v>
      </c>
      <c r="D98" s="24">
        <f>D59</f>
        <v>721.54</v>
      </c>
      <c r="E98" s="28"/>
      <c r="F98" s="27" t="str">
        <f>IF(E98="","",IF(ABS(E98-D98)&lt;=Setup!$C$6,"PASS","FAIL"))</f>
        <v/>
      </c>
      <c r="G98" s="24">
        <f>G59</f>
        <v>577.23</v>
      </c>
      <c r="H98" s="28"/>
      <c r="I98" s="27" t="str">
        <f>IF(H98="","",IF(ABS(H98-G98)&lt;=Setup!$C$6,"PASS","FAIL"))</f>
        <v/>
      </c>
    </row>
    <row r="99" spans="1:9" x14ac:dyDescent="0.25">
      <c r="A99" s="17" t="s">
        <v>792</v>
      </c>
      <c r="B99" s="4" t="s">
        <v>793</v>
      </c>
      <c r="C99" s="6" t="s">
        <v>645</v>
      </c>
      <c r="D99" s="24">
        <f>D60</f>
        <v>39.46</v>
      </c>
      <c r="E99" s="28"/>
      <c r="F99" s="27" t="str">
        <f>IF(E99="","",IF(ABS(E99-D99)&lt;=Setup!$C$6,"PASS","FAIL"))</f>
        <v/>
      </c>
      <c r="G99" s="24">
        <f>G60</f>
        <v>39.46</v>
      </c>
      <c r="H99" s="28"/>
      <c r="I99" s="27" t="str">
        <f>IF(H99="","",IF(ABS(H99-G99)&lt;=Setup!$C$6,"PASS","FAIL"))</f>
        <v/>
      </c>
    </row>
    <row r="100" spans="1:9" x14ac:dyDescent="0.25">
      <c r="A100" s="17" t="s">
        <v>763</v>
      </c>
      <c r="B100" s="4" t="s">
        <v>764</v>
      </c>
      <c r="C100" s="6" t="s">
        <v>645</v>
      </c>
      <c r="D100" s="24">
        <f>D61</f>
        <v>54.12</v>
      </c>
      <c r="E100" s="28"/>
      <c r="F100" s="27" t="str">
        <f>IF(E100="","",IF(ABS(E100-D100)&lt;=Setup!$C$6,"PASS","FAIL"))</f>
        <v/>
      </c>
      <c r="G100" s="24">
        <f>G61</f>
        <v>54.12</v>
      </c>
      <c r="H100" s="28"/>
      <c r="I100" s="27" t="str">
        <f>IF(H100="","",IF(ABS(H100-G100)&lt;=Setup!$C$6,"PASS","FAIL"))</f>
        <v/>
      </c>
    </row>
    <row r="101" spans="1:9" x14ac:dyDescent="0.25">
      <c r="A101" s="17" t="s">
        <v>794</v>
      </c>
      <c r="B101" s="4" t="s">
        <v>795</v>
      </c>
      <c r="C101" s="6" t="s">
        <v>645</v>
      </c>
      <c r="D101" s="24">
        <f>D66</f>
        <v>108.23</v>
      </c>
      <c r="E101" s="28"/>
      <c r="F101" s="27" t="str">
        <f>IF(E101="","",IF(ABS(E101-D101)&lt;=Setup!$C$6,"PASS","FAIL"))</f>
        <v/>
      </c>
      <c r="G101" s="24">
        <f>G66</f>
        <v>108.23</v>
      </c>
      <c r="H101" s="28"/>
      <c r="I101" s="27" t="str">
        <f>IF(H101="","",IF(ABS(H101-G101)&lt;=Setup!$C$6,"PASS","FAIL"))</f>
        <v/>
      </c>
    </row>
    <row r="102" spans="1:9" x14ac:dyDescent="0.25">
      <c r="A102" s="17" t="s">
        <v>654</v>
      </c>
      <c r="B102" s="4" t="s">
        <v>655</v>
      </c>
      <c r="C102" s="6" t="s">
        <v>656</v>
      </c>
      <c r="D102" s="24">
        <f>D56</f>
        <v>3443.92</v>
      </c>
      <c r="E102" s="28"/>
      <c r="F102" s="27" t="str">
        <f>IF(E102="","",IF(ABS(E102-D102)&lt;=Setup!$C$6,"PASS","FAIL"))</f>
        <v/>
      </c>
      <c r="G102" s="24">
        <f>G56</f>
        <v>3187.92</v>
      </c>
      <c r="H102" s="28"/>
      <c r="I102" s="27" t="str">
        <f>IF(H102="","",IF(ABS(H102-G102)&lt;=Setup!$C$6,"PASS","FAIL"))</f>
        <v/>
      </c>
    </row>
    <row r="103" spans="1:9" x14ac:dyDescent="0.25">
      <c r="A103" s="17" t="s">
        <v>657</v>
      </c>
      <c r="B103" s="4" t="s">
        <v>658</v>
      </c>
      <c r="C103" s="6" t="s">
        <v>659</v>
      </c>
      <c r="D103" s="24">
        <f>D73</f>
        <v>3762.05</v>
      </c>
      <c r="E103" s="28"/>
      <c r="F103" s="27" t="str">
        <f>IF(E103="","",IF(ABS(E103-D103)&lt;=Setup!$C$6,"PASS","FAIL"))</f>
        <v/>
      </c>
      <c r="G103" s="24">
        <f>G73</f>
        <v>3473.43</v>
      </c>
      <c r="H103" s="28"/>
      <c r="I103" s="27" t="str">
        <f>IF(H103="","",IF(ABS(H103-G103)&lt;=Setup!$C$6,"PASS","FAIL"))</f>
        <v/>
      </c>
    </row>
    <row r="104" spans="1:9" x14ac:dyDescent="0.25">
      <c r="A104" s="17" t="s">
        <v>660</v>
      </c>
      <c r="B104" s="4" t="s">
        <v>66</v>
      </c>
      <c r="C104" s="6" t="s">
        <v>93</v>
      </c>
      <c r="D104" s="24">
        <f>D80</f>
        <v>1601.91</v>
      </c>
      <c r="E104" s="28"/>
      <c r="F104" s="27" t="str">
        <f>IF(E104="","",IF(ABS(E104-D104)&lt;=Setup!$C$6,"PASS","FAIL"))</f>
        <v/>
      </c>
      <c r="G104" s="24">
        <f>G80</f>
        <v>1457.6</v>
      </c>
      <c r="H104" s="28"/>
      <c r="I104" s="27" t="str">
        <f>IF(H104="","",IF(ABS(H104-G104)&lt;=Setup!$C$6,"PASS","FAIL"))</f>
        <v/>
      </c>
    </row>
    <row r="105" spans="1:9" x14ac:dyDescent="0.25">
      <c r="A105" s="17" t="s">
        <v>661</v>
      </c>
      <c r="B105" s="4" t="s">
        <v>68</v>
      </c>
      <c r="C105" s="6" t="s">
        <v>93</v>
      </c>
      <c r="D105" s="24">
        <f>D72</f>
        <v>3312.05</v>
      </c>
      <c r="E105" s="28"/>
      <c r="F105" s="27" t="str">
        <f>IF(E105="","",IF(ABS(E105-D105)&lt;=Setup!$C$6,"PASS","FAIL"))</f>
        <v/>
      </c>
      <c r="G105" s="24">
        <f>G72</f>
        <v>3023.43</v>
      </c>
      <c r="H105" s="28"/>
      <c r="I105" s="27" t="str">
        <f>IF(H105="","",IF(ABS(H105-G105)&lt;=Setup!$C$6,"PASS","FAIL"))</f>
        <v/>
      </c>
    </row>
    <row r="106" spans="1:9" x14ac:dyDescent="0.25">
      <c r="A106" s="17" t="s">
        <v>662</v>
      </c>
      <c r="B106" s="4" t="s">
        <v>71</v>
      </c>
      <c r="C106" s="6" t="s">
        <v>93</v>
      </c>
      <c r="D106" s="24">
        <f>D55</f>
        <v>450</v>
      </c>
      <c r="E106" s="28"/>
      <c r="F106" s="27" t="str">
        <f>IF(E106="","",IF(ABS(E106-D106)&lt;=Setup!$C$6,"PASS","FAIL"))</f>
        <v/>
      </c>
      <c r="G106" s="24">
        <f>G55</f>
        <v>450</v>
      </c>
      <c r="H106" s="28"/>
      <c r="I106" s="27" t="str">
        <f>IF(H106="","",IF(ABS(H106-G106)&lt;=Setup!$C$6,"PASS","FAIL"))</f>
        <v/>
      </c>
    </row>
    <row r="107" spans="1:9" x14ac:dyDescent="0.25">
      <c r="A107" s="17" t="s">
        <v>663</v>
      </c>
      <c r="B107" s="4" t="s">
        <v>664</v>
      </c>
      <c r="C107" s="6" t="s">
        <v>93</v>
      </c>
      <c r="D107" s="24">
        <f>D73</f>
        <v>3762.05</v>
      </c>
      <c r="E107" s="28"/>
      <c r="F107" s="27" t="str">
        <f>IF(E107="","",IF(ABS(E107-D107)&lt;=Setup!$C$6,"PASS","FAIL"))</f>
        <v/>
      </c>
      <c r="G107" s="24">
        <f>G73</f>
        <v>3473.43</v>
      </c>
      <c r="H107" s="28"/>
      <c r="I107" s="27" t="str">
        <f>IF(H107="","",IF(ABS(H107-G107)&lt;=Setup!$C$6,"PASS","FAIL"))</f>
        <v/>
      </c>
    </row>
    <row r="108" spans="1:9" x14ac:dyDescent="0.25">
      <c r="A108" s="17" t="s">
        <v>665</v>
      </c>
      <c r="B108" s="4" t="s">
        <v>666</v>
      </c>
      <c r="C108" s="6" t="s">
        <v>667</v>
      </c>
      <c r="D108" s="24">
        <f>D76</f>
        <v>132</v>
      </c>
      <c r="E108" s="28"/>
      <c r="F108" s="27" t="str">
        <f>IF(E108="","",IF(ABS(E108-D108)&lt;=Setup!$C$6,"PASS","FAIL"))</f>
        <v/>
      </c>
      <c r="G108" s="24">
        <f>G76</f>
        <v>132</v>
      </c>
      <c r="H108" s="28"/>
      <c r="I108" s="27" t="str">
        <f>IF(H108="","",IF(ABS(H108-G108)&lt;=Setup!$C$6,"PASS","FAIL"))</f>
        <v/>
      </c>
    </row>
    <row r="109" spans="1:9" x14ac:dyDescent="0.25">
      <c r="A109" s="17" t="s">
        <v>668</v>
      </c>
      <c r="B109" s="4" t="s">
        <v>669</v>
      </c>
      <c r="C109" s="6" t="s">
        <v>83</v>
      </c>
      <c r="D109" s="12" t="str">
        <f>D77</f>
        <v>No</v>
      </c>
      <c r="E109" s="9"/>
      <c r="F109" s="27" t="str">
        <f>IF(E109="","",IF(UPPER(E109)=UPPER(D109),"PASS","FAIL"))</f>
        <v/>
      </c>
      <c r="G109" s="12" t="str">
        <f>G77</f>
        <v>No</v>
      </c>
      <c r="H109" s="9"/>
      <c r="I109" s="27" t="str">
        <f>IF(H109="","",IF(UPPER(H109)=UPPER(G109),"PASS","FAIL"))</f>
        <v/>
      </c>
    </row>
    <row r="110" spans="1:9" x14ac:dyDescent="0.25">
      <c r="A110" s="17" t="s">
        <v>670</v>
      </c>
      <c r="B110" s="4" t="s">
        <v>616</v>
      </c>
      <c r="C110" s="6" t="s">
        <v>671</v>
      </c>
      <c r="D110" s="24">
        <f>D78</f>
        <v>159.15333333</v>
      </c>
      <c r="E110" s="15"/>
      <c r="F110" s="15" t="s">
        <v>672</v>
      </c>
      <c r="G110" s="24">
        <f>G78</f>
        <v>159.15333333</v>
      </c>
      <c r="H110" s="15"/>
      <c r="I110" s="15" t="s">
        <v>672</v>
      </c>
    </row>
    <row r="111" spans="2:2" x14ac:dyDescent="0.25">
      <c r="B111" s="2" t="s">
        <v>673</v>
      </c>
    </row>
  </sheetData>
  <mergeCells count="2">
    <mergeCell ref="A2:M2"/>
    <mergeCell ref="A3:M3"/>
  </mergeCells>
  <conditionalFormatting sqref="A1:M111">
    <cfRule type="cellIs" dxfId="48" priority="1" operator="equal">
      <formula>"PASS"</formula>
    </cfRule>
    <cfRule type="cellIs" dxfId="49" priority="2" operator="equal">
      <formula>"OK"</formula>
    </cfRule>
    <cfRule type="cellIs" dxfId="50" priority="3" operator="equal">
      <formula>"Covered"</formula>
    </cfRule>
    <cfRule type="cellIs" dxfId="51" priority="4" operator="equal">
      <formula>"FAIL"</formula>
    </cfRule>
    <cfRule type="cellIs" dxfId="52" priority="5" operator="equal">
      <formula>"CHECK"</formula>
    </cfRule>
    <cfRule type="cellIs" dxfId="53" priority="6" operator="equal">
      <formula>"GAP"</formula>
    </cfRule>
  </conditionalFormatting>
  <pageSetup orientation="landscape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8F82"/>
    <pageSetUpPr fitToPage="1"/>
  </sheetPr>
  <dimension ref="A1:O95"/>
  <sheetViews>
    <sheetView workbookViewId="0" showGridLines="0"/>
  </sheetViews>
  <sheetFormatPr defaultRowHeight="15" outlineLevelRow="0" outlineLevelCol="0" x14ac:dyDescent="55"/>
  <cols>
    <col min="1" max="1" width="8" customWidth="1"/>
    <col min="2" max="2" width="40" customWidth="1"/>
    <col min="3" max="3" width="52" customWidth="1"/>
    <col min="4" max="15" width="15" customWidth="1"/>
  </cols>
  <sheetData>
    <row r="1" ht="26" customHeight="1" spans="1:1" x14ac:dyDescent="0.25">
      <c r="A1" s="1" t="s">
        <v>824</v>
      </c>
    </row>
    <row r="2" ht="42" customHeight="1" spans="1:15" x14ac:dyDescent="0.25">
      <c r="A2" s="2" t="s">
        <v>148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2" t="s">
        <v>825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5" spans="1:15" x14ac:dyDescent="0.25">
      <c r="A5" s="3" t="s">
        <v>516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16" t="s">
        <v>517</v>
      </c>
      <c r="B6" s="16" t="s">
        <v>518</v>
      </c>
      <c r="C6" s="16" t="s">
        <v>519</v>
      </c>
      <c r="D6" s="16" t="s">
        <v>426</v>
      </c>
      <c r="E6" s="16"/>
      <c r="F6" s="16"/>
      <c r="G6" s="16" t="s">
        <v>437</v>
      </c>
      <c r="H6" s="16"/>
      <c r="I6" s="16"/>
      <c r="J6" s="16" t="s">
        <v>460</v>
      </c>
      <c r="K6" s="16"/>
      <c r="L6" s="16"/>
      <c r="M6" s="16" t="s">
        <v>465</v>
      </c>
      <c r="N6" s="16"/>
      <c r="O6" s="16"/>
    </row>
    <row r="7" spans="1:15" x14ac:dyDescent="0.25">
      <c r="A7" s="17"/>
      <c r="B7" s="4" t="s">
        <v>520</v>
      </c>
      <c r="C7" s="6" t="s">
        <v>521</v>
      </c>
      <c r="D7" s="8" t="s">
        <v>826</v>
      </c>
      <c r="E7" s="4"/>
      <c r="F7" s="4"/>
      <c r="G7" s="8" t="s">
        <v>827</v>
      </c>
      <c r="H7" s="4"/>
      <c r="I7" s="4"/>
      <c r="J7" s="8" t="s">
        <v>828</v>
      </c>
      <c r="K7" s="4"/>
      <c r="L7" s="4"/>
      <c r="M7" s="8" t="s">
        <v>829</v>
      </c>
      <c r="N7" s="4"/>
      <c r="O7" s="4"/>
    </row>
    <row r="8" spans="1:15" x14ac:dyDescent="0.25">
      <c r="A8" s="17"/>
      <c r="B8" s="4" t="s">
        <v>523</v>
      </c>
      <c r="C8" s="6"/>
      <c r="D8" s="8" t="s">
        <v>830</v>
      </c>
      <c r="E8" s="4"/>
      <c r="F8" s="4"/>
      <c r="G8" s="8" t="s">
        <v>831</v>
      </c>
      <c r="H8" s="4"/>
      <c r="I8" s="4"/>
      <c r="J8" s="8" t="s">
        <v>832</v>
      </c>
      <c r="K8" s="4"/>
      <c r="L8" s="4"/>
      <c r="M8" s="8" t="s">
        <v>833</v>
      </c>
      <c r="N8" s="4"/>
      <c r="O8" s="4"/>
    </row>
    <row r="9" spans="1:15" x14ac:dyDescent="0.25">
      <c r="A9" s="17"/>
      <c r="B9" s="4" t="s">
        <v>525</v>
      </c>
      <c r="C9" s="6" t="s">
        <v>526</v>
      </c>
      <c r="D9" s="8" t="s">
        <v>834</v>
      </c>
      <c r="E9" s="4"/>
      <c r="F9" s="4"/>
      <c r="G9" s="8" t="s">
        <v>835</v>
      </c>
      <c r="H9" s="4"/>
      <c r="I9" s="4"/>
      <c r="J9" s="8" t="s">
        <v>111</v>
      </c>
      <c r="K9" s="4"/>
      <c r="L9" s="4"/>
      <c r="M9" s="8" t="s">
        <v>836</v>
      </c>
      <c r="N9" s="4"/>
      <c r="O9" s="4"/>
    </row>
    <row r="10" spans="1:15" x14ac:dyDescent="0.25">
      <c r="A10" s="17"/>
      <c r="B10" s="4" t="s">
        <v>528</v>
      </c>
      <c r="C10" s="6" t="s">
        <v>529</v>
      </c>
      <c r="D10" s="8" t="s">
        <v>530</v>
      </c>
      <c r="E10" s="4"/>
      <c r="F10" s="4"/>
      <c r="G10" s="8" t="s">
        <v>530</v>
      </c>
      <c r="H10" s="4"/>
      <c r="I10" s="4"/>
      <c r="J10" s="8" t="s">
        <v>530</v>
      </c>
      <c r="K10" s="4"/>
      <c r="L10" s="4"/>
      <c r="M10" s="8" t="s">
        <v>530</v>
      </c>
      <c r="N10" s="4"/>
      <c r="O10" s="4"/>
    </row>
    <row r="11" spans="1:15" x14ac:dyDescent="0.25">
      <c r="A11" s="17"/>
      <c r="B11" s="4" t="s">
        <v>531</v>
      </c>
      <c r="C11" s="6"/>
      <c r="D11" s="20">
        <v>46358</v>
      </c>
      <c r="E11" s="4"/>
      <c r="F11" s="4"/>
      <c r="G11" s="20">
        <v>46358</v>
      </c>
      <c r="H11" s="4"/>
      <c r="I11" s="4"/>
      <c r="J11" s="20">
        <v>46358</v>
      </c>
      <c r="K11" s="4"/>
      <c r="L11" s="4"/>
      <c r="M11" s="20">
        <v>46358</v>
      </c>
      <c r="N11" s="4"/>
      <c r="O11" s="4"/>
    </row>
    <row r="12" spans="1:15" x14ac:dyDescent="0.25">
      <c r="A12" s="17"/>
      <c r="B12" s="4" t="s">
        <v>532</v>
      </c>
      <c r="C12" s="6"/>
      <c r="D12" s="20">
        <v>46360</v>
      </c>
      <c r="E12" s="4"/>
      <c r="F12" s="4"/>
      <c r="G12" s="20">
        <v>46360</v>
      </c>
      <c r="H12" s="4"/>
      <c r="I12" s="4"/>
      <c r="J12" s="20">
        <v>46360</v>
      </c>
      <c r="K12" s="4"/>
      <c r="L12" s="4"/>
      <c r="M12" s="20">
        <v>46360</v>
      </c>
      <c r="N12" s="4"/>
      <c r="O12" s="4"/>
    </row>
    <row r="13" spans="1:15" x14ac:dyDescent="0.25">
      <c r="A13" s="17"/>
      <c r="B13" s="4" t="s">
        <v>533</v>
      </c>
      <c r="C13" s="6" t="s">
        <v>534</v>
      </c>
      <c r="D13" s="21">
        <v>1</v>
      </c>
      <c r="E13" s="4"/>
      <c r="F13" s="4"/>
      <c r="G13" s="21">
        <v>1</v>
      </c>
      <c r="H13" s="4"/>
      <c r="I13" s="4"/>
      <c r="J13" s="21">
        <v>1</v>
      </c>
      <c r="K13" s="4"/>
      <c r="L13" s="4"/>
      <c r="M13" s="21">
        <v>1</v>
      </c>
      <c r="N13" s="4"/>
      <c r="O13" s="4"/>
    </row>
    <row r="14" spans="1:15" x14ac:dyDescent="0.25">
      <c r="A14" s="17"/>
      <c r="B14" s="4" t="s">
        <v>535</v>
      </c>
      <c r="C14" s="6" t="s">
        <v>536</v>
      </c>
      <c r="D14" s="7">
        <v>120</v>
      </c>
      <c r="E14" s="4"/>
      <c r="F14" s="4"/>
      <c r="G14" s="7">
        <v>120</v>
      </c>
      <c r="H14" s="4"/>
      <c r="I14" s="4"/>
      <c r="J14" s="7">
        <v>120</v>
      </c>
      <c r="K14" s="4"/>
      <c r="L14" s="4"/>
      <c r="M14" s="7">
        <v>120</v>
      </c>
      <c r="N14" s="4"/>
      <c r="O14" s="4"/>
    </row>
    <row r="15" spans="1:15" x14ac:dyDescent="0.25">
      <c r="A15" s="17"/>
      <c r="B15" s="4" t="s">
        <v>537</v>
      </c>
      <c r="C15" s="6" t="s">
        <v>536</v>
      </c>
      <c r="D15" s="7">
        <v>59</v>
      </c>
      <c r="E15" s="4"/>
      <c r="F15" s="4"/>
      <c r="G15" s="7">
        <v>59</v>
      </c>
      <c r="H15" s="4"/>
      <c r="I15" s="4"/>
      <c r="J15" s="7">
        <v>59</v>
      </c>
      <c r="K15" s="4"/>
      <c r="L15" s="4"/>
      <c r="M15" s="7">
        <v>59</v>
      </c>
      <c r="N15" s="4"/>
      <c r="O15" s="4"/>
    </row>
    <row r="16" spans="1:15" x14ac:dyDescent="0.25">
      <c r="A16" s="17"/>
      <c r="B16" s="4" t="s">
        <v>538</v>
      </c>
      <c r="C16" s="6" t="s">
        <v>539</v>
      </c>
      <c r="D16" s="7">
        <v>224</v>
      </c>
      <c r="E16" s="4"/>
      <c r="F16" s="4"/>
      <c r="G16" s="7">
        <v>224</v>
      </c>
      <c r="H16" s="4"/>
      <c r="I16" s="4"/>
      <c r="J16" s="7">
        <v>224</v>
      </c>
      <c r="K16" s="4"/>
      <c r="L16" s="4"/>
      <c r="M16" s="7">
        <v>224</v>
      </c>
      <c r="N16" s="4"/>
      <c r="O16" s="4"/>
    </row>
    <row r="17" spans="1:15" x14ac:dyDescent="0.25">
      <c r="A17" s="17"/>
      <c r="B17" s="4" t="s">
        <v>540</v>
      </c>
      <c r="C17" s="6" t="s">
        <v>539</v>
      </c>
      <c r="D17" s="7">
        <v>248.64</v>
      </c>
      <c r="E17" s="4"/>
      <c r="F17" s="4"/>
      <c r="G17" s="7">
        <v>248.64</v>
      </c>
      <c r="H17" s="4"/>
      <c r="I17" s="4"/>
      <c r="J17" s="7">
        <v>248.64</v>
      </c>
      <c r="K17" s="4"/>
      <c r="L17" s="4"/>
      <c r="M17" s="7">
        <v>248.64</v>
      </c>
      <c r="N17" s="4"/>
      <c r="O17" s="4"/>
    </row>
    <row r="18" spans="1:15" x14ac:dyDescent="0.25">
      <c r="A18" s="17"/>
      <c r="B18" s="4" t="s">
        <v>541</v>
      </c>
      <c r="C18" s="6" t="s">
        <v>542</v>
      </c>
      <c r="D18" s="7">
        <v>0</v>
      </c>
      <c r="E18" s="4"/>
      <c r="F18" s="4"/>
      <c r="G18" s="7">
        <v>0</v>
      </c>
      <c r="H18" s="4"/>
      <c r="I18" s="4"/>
      <c r="J18" s="7">
        <v>0</v>
      </c>
      <c r="K18" s="4"/>
      <c r="L18" s="4"/>
      <c r="M18" s="7">
        <v>0</v>
      </c>
      <c r="N18" s="4"/>
      <c r="O18" s="4"/>
    </row>
    <row r="19" spans="1:15" x14ac:dyDescent="0.25">
      <c r="A19" s="17"/>
      <c r="B19" s="4" t="s">
        <v>543</v>
      </c>
      <c r="C19" s="6" t="s">
        <v>542</v>
      </c>
      <c r="D19" s="7">
        <v>24.64</v>
      </c>
      <c r="E19" s="4"/>
      <c r="F19" s="4"/>
      <c r="G19" s="7">
        <v>24.64</v>
      </c>
      <c r="H19" s="4"/>
      <c r="I19" s="4"/>
      <c r="J19" s="7">
        <v>24.64</v>
      </c>
      <c r="K19" s="4"/>
      <c r="L19" s="4"/>
      <c r="M19" s="7">
        <v>24.64</v>
      </c>
      <c r="N19" s="4"/>
      <c r="O19" s="4"/>
    </row>
    <row r="20" spans="1:15" x14ac:dyDescent="0.25">
      <c r="A20" s="17"/>
      <c r="B20" s="4" t="s">
        <v>544</v>
      </c>
      <c r="C20" s="6" t="s">
        <v>545</v>
      </c>
      <c r="D20" s="7">
        <v>300</v>
      </c>
      <c r="E20" s="4"/>
      <c r="F20" s="4"/>
      <c r="G20" s="7">
        <v>326</v>
      </c>
      <c r="H20" s="4"/>
      <c r="I20" s="4"/>
      <c r="J20" s="7">
        <v>276</v>
      </c>
      <c r="K20" s="4"/>
      <c r="L20" s="4"/>
      <c r="M20" s="7">
        <v>290</v>
      </c>
      <c r="N20" s="4"/>
      <c r="O20" s="4"/>
    </row>
    <row r="21" spans="1:15" x14ac:dyDescent="0.25">
      <c r="A21" s="17"/>
      <c r="B21" s="4" t="s">
        <v>546</v>
      </c>
      <c r="C21" s="6" t="s">
        <v>545</v>
      </c>
      <c r="D21" s="7">
        <v>0</v>
      </c>
      <c r="E21" s="4"/>
      <c r="F21" s="4"/>
      <c r="G21" s="7">
        <v>0</v>
      </c>
      <c r="H21" s="4"/>
      <c r="I21" s="4"/>
      <c r="J21" s="7">
        <v>0</v>
      </c>
      <c r="K21" s="4"/>
      <c r="L21" s="4"/>
      <c r="M21" s="7">
        <v>0</v>
      </c>
      <c r="N21" s="4"/>
      <c r="O21" s="4"/>
    </row>
    <row r="22" spans="1:15" x14ac:dyDescent="0.25">
      <c r="A22" s="17"/>
      <c r="B22" s="4" t="s">
        <v>547</v>
      </c>
      <c r="C22" s="6" t="s">
        <v>545</v>
      </c>
      <c r="D22" s="7">
        <v>0</v>
      </c>
      <c r="E22" s="4"/>
      <c r="F22" s="4"/>
      <c r="G22" s="7">
        <v>0</v>
      </c>
      <c r="H22" s="4"/>
      <c r="I22" s="4"/>
      <c r="J22" s="7">
        <v>0</v>
      </c>
      <c r="K22" s="4"/>
      <c r="L22" s="4"/>
      <c r="M22" s="7">
        <v>0</v>
      </c>
      <c r="N22" s="4"/>
      <c r="O22" s="4"/>
    </row>
    <row r="23" spans="1:15" x14ac:dyDescent="0.25">
      <c r="A23" s="17"/>
      <c r="B23" s="4" t="s">
        <v>548</v>
      </c>
      <c r="C23" s="6" t="s">
        <v>549</v>
      </c>
      <c r="D23" s="7">
        <v>0</v>
      </c>
      <c r="E23" s="4"/>
      <c r="F23" s="4"/>
      <c r="G23" s="7">
        <v>0</v>
      </c>
      <c r="H23" s="4"/>
      <c r="I23" s="4"/>
      <c r="J23" s="7">
        <v>0</v>
      </c>
      <c r="K23" s="4"/>
      <c r="L23" s="4"/>
      <c r="M23" s="7">
        <v>0</v>
      </c>
      <c r="N23" s="4"/>
      <c r="O23" s="4"/>
    </row>
    <row r="24" spans="1:15" x14ac:dyDescent="0.25">
      <c r="A24" s="17"/>
      <c r="B24" s="4" t="s">
        <v>550</v>
      </c>
      <c r="C24" s="6" t="s">
        <v>549</v>
      </c>
      <c r="D24" s="7">
        <v>0</v>
      </c>
      <c r="E24" s="4"/>
      <c r="F24" s="4"/>
      <c r="G24" s="7">
        <v>0</v>
      </c>
      <c r="H24" s="4"/>
      <c r="I24" s="4"/>
      <c r="J24" s="7">
        <v>0</v>
      </c>
      <c r="K24" s="4"/>
      <c r="L24" s="4"/>
      <c r="M24" s="7">
        <v>0</v>
      </c>
      <c r="N24" s="4"/>
      <c r="O24" s="4"/>
    </row>
    <row r="25" spans="1:15" x14ac:dyDescent="0.25">
      <c r="A25" s="17"/>
      <c r="B25" s="4" t="s">
        <v>551</v>
      </c>
      <c r="C25" s="6" t="s">
        <v>549</v>
      </c>
      <c r="D25" s="7">
        <v>0</v>
      </c>
      <c r="E25" s="4"/>
      <c r="F25" s="4"/>
      <c r="G25" s="7">
        <v>0</v>
      </c>
      <c r="H25" s="4"/>
      <c r="I25" s="4"/>
      <c r="J25" s="7">
        <v>0</v>
      </c>
      <c r="K25" s="4"/>
      <c r="L25" s="4"/>
      <c r="M25" s="7">
        <v>0</v>
      </c>
      <c r="N25" s="4"/>
      <c r="O25" s="4"/>
    </row>
    <row r="26" spans="1:15" x14ac:dyDescent="0.25">
      <c r="A26" s="17"/>
      <c r="B26" s="4" t="s">
        <v>552</v>
      </c>
      <c r="C26" s="6" t="s">
        <v>549</v>
      </c>
      <c r="D26" s="7">
        <v>0</v>
      </c>
      <c r="E26" s="4"/>
      <c r="F26" s="4"/>
      <c r="G26" s="7">
        <v>0</v>
      </c>
      <c r="H26" s="4"/>
      <c r="I26" s="4"/>
      <c r="J26" s="7">
        <v>0</v>
      </c>
      <c r="K26" s="4"/>
      <c r="L26" s="4"/>
      <c r="M26" s="7">
        <v>0</v>
      </c>
      <c r="N26" s="4"/>
      <c r="O26" s="4"/>
    </row>
    <row r="27" spans="1:15" x14ac:dyDescent="0.25">
      <c r="A27" s="17"/>
      <c r="B27" s="4" t="s">
        <v>553</v>
      </c>
      <c r="C27" s="6" t="s">
        <v>549</v>
      </c>
      <c r="D27" s="7">
        <v>0</v>
      </c>
      <c r="E27" s="4"/>
      <c r="F27" s="4"/>
      <c r="G27" s="7">
        <v>0</v>
      </c>
      <c r="H27" s="4"/>
      <c r="I27" s="4"/>
      <c r="J27" s="7">
        <v>0</v>
      </c>
      <c r="K27" s="4"/>
      <c r="L27" s="4"/>
      <c r="M27" s="7">
        <v>0</v>
      </c>
      <c r="N27" s="4"/>
      <c r="O27" s="4"/>
    </row>
    <row r="28" spans="1:15" x14ac:dyDescent="0.25">
      <c r="A28" s="17"/>
      <c r="B28" s="4" t="s">
        <v>554</v>
      </c>
      <c r="C28" s="6" t="s">
        <v>549</v>
      </c>
      <c r="D28" s="7">
        <v>0</v>
      </c>
      <c r="E28" s="4"/>
      <c r="F28" s="4"/>
      <c r="G28" s="7">
        <v>0</v>
      </c>
      <c r="H28" s="4"/>
      <c r="I28" s="4"/>
      <c r="J28" s="7">
        <v>0</v>
      </c>
      <c r="K28" s="4"/>
      <c r="L28" s="4"/>
      <c r="M28" s="7">
        <v>0</v>
      </c>
      <c r="N28" s="4"/>
      <c r="O28" s="4"/>
    </row>
    <row r="29" spans="1:15" x14ac:dyDescent="0.25">
      <c r="A29" s="17"/>
      <c r="B29" s="4" t="s">
        <v>555</v>
      </c>
      <c r="C29" s="6" t="s">
        <v>549</v>
      </c>
      <c r="D29" s="7">
        <v>0</v>
      </c>
      <c r="E29" s="4"/>
      <c r="F29" s="4"/>
      <c r="G29" s="7">
        <v>0</v>
      </c>
      <c r="H29" s="4"/>
      <c r="I29" s="4"/>
      <c r="J29" s="7">
        <v>0</v>
      </c>
      <c r="K29" s="4"/>
      <c r="L29" s="4"/>
      <c r="M29" s="7">
        <v>0</v>
      </c>
      <c r="N29" s="4"/>
      <c r="O29" s="4"/>
    </row>
    <row r="30" spans="1:15" x14ac:dyDescent="0.25">
      <c r="A30" s="17"/>
      <c r="B30" s="4" t="s">
        <v>556</v>
      </c>
      <c r="C30" s="6" t="s">
        <v>549</v>
      </c>
      <c r="D30" s="7">
        <v>0</v>
      </c>
      <c r="E30" s="4"/>
      <c r="F30" s="4"/>
      <c r="G30" s="7">
        <v>0</v>
      </c>
      <c r="H30" s="4"/>
      <c r="I30" s="4"/>
      <c r="J30" s="7">
        <v>0</v>
      </c>
      <c r="K30" s="4"/>
      <c r="L30" s="4"/>
      <c r="M30" s="7">
        <v>0</v>
      </c>
      <c r="N30" s="4"/>
      <c r="O30" s="4"/>
    </row>
    <row r="31" spans="1:15" x14ac:dyDescent="0.25">
      <c r="A31" s="4"/>
      <c r="B31" s="22" t="s">
        <v>557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</row>
    <row r="32" spans="1:15" x14ac:dyDescent="0.25">
      <c r="A32" s="17"/>
      <c r="B32" s="4" t="s">
        <v>558</v>
      </c>
      <c r="C32" s="6" t="s">
        <v>559</v>
      </c>
      <c r="D32" s="7">
        <v>0</v>
      </c>
      <c r="E32" s="4"/>
      <c r="F32" s="4"/>
      <c r="G32" s="7">
        <v>0</v>
      </c>
      <c r="H32" s="4"/>
      <c r="I32" s="4"/>
      <c r="J32" s="7">
        <v>0</v>
      </c>
      <c r="K32" s="4"/>
      <c r="L32" s="4"/>
      <c r="M32" s="7">
        <v>0</v>
      </c>
      <c r="N32" s="4"/>
      <c r="O32" s="4"/>
    </row>
    <row r="33" spans="1:15" x14ac:dyDescent="0.25">
      <c r="A33" s="17"/>
      <c r="B33" s="4" t="s">
        <v>560</v>
      </c>
      <c r="C33" s="6"/>
      <c r="D33" s="23">
        <v>0</v>
      </c>
      <c r="E33" s="4"/>
      <c r="F33" s="4"/>
      <c r="G33" s="23">
        <v>0</v>
      </c>
      <c r="H33" s="4"/>
      <c r="I33" s="4"/>
      <c r="J33" s="23">
        <v>0</v>
      </c>
      <c r="K33" s="4"/>
      <c r="L33" s="4"/>
      <c r="M33" s="23">
        <v>0</v>
      </c>
      <c r="N33" s="4"/>
      <c r="O33" s="4"/>
    </row>
    <row r="34" spans="1:15" x14ac:dyDescent="0.25">
      <c r="A34" s="17"/>
      <c r="B34" s="4" t="s">
        <v>561</v>
      </c>
      <c r="C34" s="6"/>
      <c r="D34" s="7">
        <v>0</v>
      </c>
      <c r="E34" s="4"/>
      <c r="F34" s="4"/>
      <c r="G34" s="7">
        <v>0</v>
      </c>
      <c r="H34" s="4"/>
      <c r="I34" s="4"/>
      <c r="J34" s="7">
        <v>0</v>
      </c>
      <c r="K34" s="4"/>
      <c r="L34" s="4"/>
      <c r="M34" s="7">
        <v>0</v>
      </c>
      <c r="N34" s="4"/>
      <c r="O34" s="4"/>
    </row>
    <row r="35" spans="1:15" x14ac:dyDescent="0.25">
      <c r="A35" s="17"/>
      <c r="B35" s="4" t="s">
        <v>562</v>
      </c>
      <c r="C35" s="6"/>
      <c r="D35" s="23">
        <v>0</v>
      </c>
      <c r="E35" s="4"/>
      <c r="F35" s="4"/>
      <c r="G35" s="23">
        <v>0</v>
      </c>
      <c r="H35" s="4"/>
      <c r="I35" s="4"/>
      <c r="J35" s="23">
        <v>0</v>
      </c>
      <c r="K35" s="4"/>
      <c r="L35" s="4"/>
      <c r="M35" s="23">
        <v>0</v>
      </c>
      <c r="N35" s="4"/>
      <c r="O35" s="4"/>
    </row>
    <row r="36" spans="1:15" x14ac:dyDescent="0.25">
      <c r="A36" s="17"/>
      <c r="B36" s="4" t="s">
        <v>563</v>
      </c>
      <c r="C36" s="6"/>
      <c r="D36" s="7">
        <v>0</v>
      </c>
      <c r="E36" s="4"/>
      <c r="F36" s="4"/>
      <c r="G36" s="7">
        <v>0</v>
      </c>
      <c r="H36" s="4"/>
      <c r="I36" s="4"/>
      <c r="J36" s="7">
        <v>0</v>
      </c>
      <c r="K36" s="4"/>
      <c r="L36" s="4"/>
      <c r="M36" s="7">
        <v>0</v>
      </c>
      <c r="N36" s="4"/>
      <c r="O36" s="4"/>
    </row>
    <row r="37" spans="1:15" x14ac:dyDescent="0.25">
      <c r="A37" s="17"/>
      <c r="B37" s="4" t="s">
        <v>564</v>
      </c>
      <c r="C37" s="6"/>
      <c r="D37" s="23">
        <v>0</v>
      </c>
      <c r="E37" s="4"/>
      <c r="F37" s="4"/>
      <c r="G37" s="23">
        <v>0</v>
      </c>
      <c r="H37" s="4"/>
      <c r="I37" s="4"/>
      <c r="J37" s="23">
        <v>0</v>
      </c>
      <c r="K37" s="4"/>
      <c r="L37" s="4"/>
      <c r="M37" s="23">
        <v>0</v>
      </c>
      <c r="N37" s="4"/>
      <c r="O37" s="4"/>
    </row>
    <row r="38" spans="1:15" x14ac:dyDescent="0.25">
      <c r="A38" s="17"/>
      <c r="B38" s="4" t="s">
        <v>565</v>
      </c>
      <c r="C38" s="6"/>
      <c r="D38" s="7">
        <v>0</v>
      </c>
      <c r="E38" s="4"/>
      <c r="F38" s="4"/>
      <c r="G38" s="7">
        <v>0</v>
      </c>
      <c r="H38" s="4"/>
      <c r="I38" s="4"/>
      <c r="J38" s="7">
        <v>0</v>
      </c>
      <c r="K38" s="4"/>
      <c r="L38" s="4"/>
      <c r="M38" s="7">
        <v>0</v>
      </c>
      <c r="N38" s="4"/>
      <c r="O38" s="4"/>
    </row>
    <row r="39" spans="1:15" x14ac:dyDescent="0.25">
      <c r="A39" s="17"/>
      <c r="B39" s="4" t="s">
        <v>566</v>
      </c>
      <c r="C39" s="6"/>
      <c r="D39" s="23">
        <v>0</v>
      </c>
      <c r="E39" s="4"/>
      <c r="F39" s="4"/>
      <c r="G39" s="23">
        <v>0</v>
      </c>
      <c r="H39" s="4"/>
      <c r="I39" s="4"/>
      <c r="J39" s="23">
        <v>0</v>
      </c>
      <c r="K39" s="4"/>
      <c r="L39" s="4"/>
      <c r="M39" s="23">
        <v>0</v>
      </c>
      <c r="N39" s="4"/>
      <c r="O39" s="4"/>
    </row>
    <row r="40" spans="1:15" x14ac:dyDescent="0.25">
      <c r="A40" s="17"/>
      <c r="B40" s="4" t="s">
        <v>567</v>
      </c>
      <c r="C40" s="6" t="s">
        <v>568</v>
      </c>
      <c r="D40" s="21">
        <v>0</v>
      </c>
      <c r="E40" s="4"/>
      <c r="F40" s="4"/>
      <c r="G40" s="21">
        <v>0</v>
      </c>
      <c r="H40" s="4"/>
      <c r="I40" s="4"/>
      <c r="J40" s="21">
        <v>0</v>
      </c>
      <c r="K40" s="4"/>
      <c r="L40" s="4"/>
      <c r="M40" s="21">
        <v>0</v>
      </c>
      <c r="N40" s="4"/>
      <c r="O40" s="4"/>
    </row>
    <row r="42" spans="1:15" x14ac:dyDescent="0.25">
      <c r="A42" s="3" t="s">
        <v>569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5">
      <c r="A43" s="16" t="s">
        <v>517</v>
      </c>
      <c r="B43" s="16" t="s">
        <v>518</v>
      </c>
      <c r="C43" s="16" t="s">
        <v>519</v>
      </c>
      <c r="D43" s="16" t="s">
        <v>426</v>
      </c>
      <c r="E43" s="16"/>
      <c r="F43" s="16"/>
      <c r="G43" s="16" t="s">
        <v>437</v>
      </c>
      <c r="H43" s="16"/>
      <c r="I43" s="16"/>
      <c r="J43" s="16" t="s">
        <v>460</v>
      </c>
      <c r="K43" s="16"/>
      <c r="L43" s="16"/>
      <c r="M43" s="16" t="s">
        <v>465</v>
      </c>
      <c r="N43" s="16"/>
      <c r="O43" s="16"/>
    </row>
    <row r="44" spans="1:15" x14ac:dyDescent="0.25">
      <c r="A44" s="17"/>
      <c r="B44" s="4" t="s">
        <v>61</v>
      </c>
      <c r="C44" s="6" t="s">
        <v>570</v>
      </c>
      <c r="D44" s="18">
        <f>MAX(0,D12-D11)</f>
        <v>2</v>
      </c>
      <c r="E44" s="4"/>
      <c r="F44" s="4"/>
      <c r="G44" s="18">
        <f>MAX(0,G12-G11)</f>
        <v>2</v>
      </c>
      <c r="H44" s="4"/>
      <c r="I44" s="4"/>
      <c r="J44" s="18">
        <f>MAX(0,J12-J11)</f>
        <v>2</v>
      </c>
      <c r="K44" s="4"/>
      <c r="L44" s="4"/>
      <c r="M44" s="18">
        <f>MAX(0,M12-M11)</f>
        <v>2</v>
      </c>
      <c r="N44" s="4"/>
      <c r="O44" s="4"/>
    </row>
    <row r="45" spans="1:15" x14ac:dyDescent="0.25">
      <c r="A45" s="17"/>
      <c r="B45" s="4" t="s">
        <v>571</v>
      </c>
      <c r="C45" s="6" t="s">
        <v>572</v>
      </c>
      <c r="D45" s="18">
        <f>MAX(D44-1,0)</f>
        <v>1</v>
      </c>
      <c r="E45" s="4"/>
      <c r="F45" s="4"/>
      <c r="G45" s="18">
        <f>MAX(G44-1,0)</f>
        <v>1</v>
      </c>
      <c r="H45" s="4"/>
      <c r="I45" s="4"/>
      <c r="J45" s="18">
        <f>MAX(J44-1,0)</f>
        <v>1</v>
      </c>
      <c r="K45" s="4"/>
      <c r="L45" s="4"/>
      <c r="M45" s="18">
        <f>MAX(M44-1,0)</f>
        <v>1</v>
      </c>
      <c r="N45" s="4"/>
      <c r="O45" s="4"/>
    </row>
    <row r="46" spans="1:15" x14ac:dyDescent="0.25">
      <c r="A46" s="17"/>
      <c r="B46" s="4" t="s">
        <v>573</v>
      </c>
      <c r="C46" s="6" t="s">
        <v>574</v>
      </c>
      <c r="D46" s="24">
        <f>1.5*D15+D45*D15</f>
        <v>147.5</v>
      </c>
      <c r="E46" s="4"/>
      <c r="F46" s="4"/>
      <c r="G46" s="24">
        <f>1.5*G15+G45*G15</f>
        <v>147.5</v>
      </c>
      <c r="H46" s="4"/>
      <c r="I46" s="4"/>
      <c r="J46" s="24">
        <f>1.5*J15+J45*J15</f>
        <v>147.5</v>
      </c>
      <c r="K46" s="4"/>
      <c r="L46" s="4"/>
      <c r="M46" s="24">
        <f>1.5*M15+M45*M15</f>
        <v>147.5</v>
      </c>
      <c r="N46" s="4"/>
      <c r="O46" s="4"/>
    </row>
    <row r="47" spans="1:15" x14ac:dyDescent="0.25">
      <c r="A47" s="17"/>
      <c r="B47" s="4" t="s">
        <v>575</v>
      </c>
      <c r="C47" s="6" t="s">
        <v>576</v>
      </c>
      <c r="D47" s="24">
        <f>D17+D20+D22+D21</f>
        <v>548.64</v>
      </c>
      <c r="E47" s="4"/>
      <c r="F47" s="4"/>
      <c r="G47" s="24">
        <f>G17+G20+G22+G21</f>
        <v>574.64</v>
      </c>
      <c r="H47" s="4"/>
      <c r="I47" s="4"/>
      <c r="J47" s="24">
        <f>J17+J20+J22+J21</f>
        <v>524.64</v>
      </c>
      <c r="K47" s="4"/>
      <c r="L47" s="4"/>
      <c r="M47" s="24">
        <f>M17+M20+M22+M21</f>
        <v>538.64</v>
      </c>
      <c r="N47" s="4"/>
      <c r="O47" s="4"/>
    </row>
    <row r="48" spans="1:15" x14ac:dyDescent="0.25">
      <c r="A48" s="17"/>
      <c r="B48" s="10" t="s">
        <v>66</v>
      </c>
      <c r="C48" s="6" t="s">
        <v>577</v>
      </c>
      <c r="D48" s="25">
        <f>D46+D47</f>
        <v>696.14</v>
      </c>
      <c r="E48" s="4"/>
      <c r="F48" s="4"/>
      <c r="G48" s="25">
        <f>G46+G47</f>
        <v>722.14</v>
      </c>
      <c r="H48" s="4"/>
      <c r="I48" s="4"/>
      <c r="J48" s="25">
        <f>J46+J47</f>
        <v>672.14</v>
      </c>
      <c r="K48" s="4"/>
      <c r="L48" s="4"/>
      <c r="M48" s="25">
        <f>M46+M47</f>
        <v>686.14</v>
      </c>
      <c r="N48" s="4"/>
      <c r="O48" s="4"/>
    </row>
    <row r="49" spans="1:15" x14ac:dyDescent="0.25">
      <c r="A49" s="17"/>
      <c r="B49" s="4" t="s">
        <v>578</v>
      </c>
      <c r="C49" s="6" t="s">
        <v>579</v>
      </c>
      <c r="D49" s="24">
        <f>D25+D26+D27+D28+D29+D30+D23+D24</f>
        <v>0</v>
      </c>
      <c r="E49" s="4"/>
      <c r="F49" s="4"/>
      <c r="G49" s="24">
        <f>G25+G26+G27+G28+G29+G30+G23+G24</f>
        <v>0</v>
      </c>
      <c r="H49" s="4"/>
      <c r="I49" s="4"/>
      <c r="J49" s="24">
        <f>J25+J26+J27+J28+J29+J30+J23+J24</f>
        <v>0</v>
      </c>
      <c r="K49" s="4"/>
      <c r="L49" s="4"/>
      <c r="M49" s="24">
        <f>M25+M26+M27+M28+M29+M30+M23+M24</f>
        <v>0</v>
      </c>
      <c r="N49" s="4"/>
      <c r="O49" s="4"/>
    </row>
    <row r="50" spans="1:15" x14ac:dyDescent="0.25">
      <c r="A50" s="17"/>
      <c r="B50" s="10" t="s">
        <v>68</v>
      </c>
      <c r="C50" s="6" t="s">
        <v>69</v>
      </c>
      <c r="D50" s="25">
        <f>D48*D13+D49</f>
        <v>696.14</v>
      </c>
      <c r="E50" s="4"/>
      <c r="F50" s="4"/>
      <c r="G50" s="25">
        <f>G48*G13+G49</f>
        <v>722.14</v>
      </c>
      <c r="H50" s="4"/>
      <c r="I50" s="4"/>
      <c r="J50" s="25">
        <f>J48*J13+J49</f>
        <v>672.14</v>
      </c>
      <c r="K50" s="4"/>
      <c r="L50" s="4"/>
      <c r="M50" s="25">
        <f>M48*M13+M49</f>
        <v>686.14</v>
      </c>
      <c r="N50" s="4"/>
      <c r="O50" s="4"/>
    </row>
    <row r="51" spans="1:15" x14ac:dyDescent="0.25">
      <c r="A51" s="17"/>
      <c r="B51" s="4" t="s">
        <v>580</v>
      </c>
      <c r="C51" s="6" t="s">
        <v>581</v>
      </c>
      <c r="D51" s="24">
        <f>IF(1&lt;=D13,D32*D33,0)</f>
        <v>0</v>
      </c>
      <c r="E51" s="4"/>
      <c r="F51" s="4"/>
      <c r="G51" s="24">
        <f>IF(1&lt;=G13,G32*G33,0)</f>
        <v>0</v>
      </c>
      <c r="H51" s="4"/>
      <c r="I51" s="4"/>
      <c r="J51" s="24">
        <f>IF(1&lt;=J13,J32*J33,0)</f>
        <v>0</v>
      </c>
      <c r="K51" s="4"/>
      <c r="L51" s="4"/>
      <c r="M51" s="24">
        <f>IF(1&lt;=M13,M32*M33,0)</f>
        <v>0</v>
      </c>
      <c r="N51" s="4"/>
      <c r="O51" s="4"/>
    </row>
    <row r="52" spans="1:15" x14ac:dyDescent="0.25">
      <c r="A52" s="17"/>
      <c r="B52" s="4" t="s">
        <v>582</v>
      </c>
      <c r="C52" s="6" t="s">
        <v>581</v>
      </c>
      <c r="D52" s="24">
        <f>IF(2&lt;=D13,D34*D35,0)</f>
        <v>0</v>
      </c>
      <c r="E52" s="4"/>
      <c r="F52" s="4"/>
      <c r="G52" s="24">
        <f>IF(2&lt;=G13,G34*G35,0)</f>
        <v>0</v>
      </c>
      <c r="H52" s="4"/>
      <c r="I52" s="4"/>
      <c r="J52" s="24">
        <f>IF(2&lt;=J13,J34*J35,0)</f>
        <v>0</v>
      </c>
      <c r="K52" s="4"/>
      <c r="L52" s="4"/>
      <c r="M52" s="24">
        <f>IF(2&lt;=M13,M34*M35,0)</f>
        <v>0</v>
      </c>
      <c r="N52" s="4"/>
      <c r="O52" s="4"/>
    </row>
    <row r="53" spans="1:15" x14ac:dyDescent="0.25">
      <c r="A53" s="17"/>
      <c r="B53" s="4" t="s">
        <v>583</v>
      </c>
      <c r="C53" s="6" t="s">
        <v>581</v>
      </c>
      <c r="D53" s="24">
        <f>IF(3&lt;=D13,D36*D37,0)</f>
        <v>0</v>
      </c>
      <c r="E53" s="4"/>
      <c r="F53" s="4"/>
      <c r="G53" s="24">
        <f>IF(3&lt;=G13,G36*G37,0)</f>
        <v>0</v>
      </c>
      <c r="H53" s="4"/>
      <c r="I53" s="4"/>
      <c r="J53" s="24">
        <f>IF(3&lt;=J13,J36*J37,0)</f>
        <v>0</v>
      </c>
      <c r="K53" s="4"/>
      <c r="L53" s="4"/>
      <c r="M53" s="24">
        <f>IF(3&lt;=M13,M36*M37,0)</f>
        <v>0</v>
      </c>
      <c r="N53" s="4"/>
      <c r="O53" s="4"/>
    </row>
    <row r="54" spans="1:15" x14ac:dyDescent="0.25">
      <c r="A54" s="17"/>
      <c r="B54" s="4" t="s">
        <v>584</v>
      </c>
      <c r="C54" s="6" t="s">
        <v>581</v>
      </c>
      <c r="D54" s="24">
        <f>IF(4&lt;=D13,D38*D39,0)</f>
        <v>0</v>
      </c>
      <c r="E54" s="4"/>
      <c r="F54" s="4"/>
      <c r="G54" s="24">
        <f>IF(4&lt;=G13,G38*G39,0)</f>
        <v>0</v>
      </c>
      <c r="H54" s="4"/>
      <c r="I54" s="4"/>
      <c r="J54" s="24">
        <f>IF(4&lt;=J13,J38*J39,0)</f>
        <v>0</v>
      </c>
      <c r="K54" s="4"/>
      <c r="L54" s="4"/>
      <c r="M54" s="24">
        <f>IF(4&lt;=M13,M38*M39,0)</f>
        <v>0</v>
      </c>
      <c r="N54" s="4"/>
      <c r="O54" s="4"/>
    </row>
    <row r="55" spans="1:15" x14ac:dyDescent="0.25">
      <c r="A55" s="17"/>
      <c r="B55" s="10" t="s">
        <v>71</v>
      </c>
      <c r="C55" s="6" t="s">
        <v>585</v>
      </c>
      <c r="D55" s="25">
        <f>SUM(D51:D54)</f>
        <v>0</v>
      </c>
      <c r="E55" s="4"/>
      <c r="F55" s="4"/>
      <c r="G55" s="25">
        <f>SUM(G51:G54)</f>
        <v>0</v>
      </c>
      <c r="H55" s="4"/>
      <c r="I55" s="4"/>
      <c r="J55" s="25">
        <f>SUM(J51:J54)</f>
        <v>0</v>
      </c>
      <c r="K55" s="4"/>
      <c r="L55" s="4"/>
      <c r="M55" s="25">
        <f>SUM(M51:M54)</f>
        <v>0</v>
      </c>
      <c r="N55" s="4"/>
      <c r="O55" s="4"/>
    </row>
    <row r="56" spans="1:15" x14ac:dyDescent="0.25">
      <c r="A56" s="17"/>
      <c r="B56" s="10" t="s">
        <v>586</v>
      </c>
      <c r="C56" s="6" t="s">
        <v>587</v>
      </c>
      <c r="D56" s="25">
        <f>D50+D55</f>
        <v>696.14</v>
      </c>
      <c r="E56" s="4"/>
      <c r="F56" s="4"/>
      <c r="G56" s="25">
        <f>G50+G55</f>
        <v>722.14</v>
      </c>
      <c r="H56" s="4"/>
      <c r="I56" s="4"/>
      <c r="J56" s="25">
        <f>J50+J55</f>
        <v>672.14</v>
      </c>
      <c r="K56" s="4"/>
      <c r="L56" s="4"/>
      <c r="M56" s="25">
        <f>M50+M55</f>
        <v>686.14</v>
      </c>
      <c r="N56" s="4"/>
      <c r="O56" s="4"/>
    </row>
    <row r="57" spans="1:15" x14ac:dyDescent="0.25">
      <c r="A57" s="4"/>
      <c r="B57" s="22" t="s">
        <v>588</v>
      </c>
      <c r="C57" s="22" t="s">
        <v>589</v>
      </c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</row>
    <row r="58" spans="1:15" x14ac:dyDescent="0.25">
      <c r="A58" s="17"/>
      <c r="B58" s="4" t="s">
        <v>590</v>
      </c>
      <c r="C58" s="6" t="s">
        <v>591</v>
      </c>
      <c r="D58" s="24">
        <f>ROUND(D17*Setup!$C$5,2)</f>
        <v>280.32</v>
      </c>
      <c r="E58" s="4"/>
      <c r="F58" s="4"/>
      <c r="G58" s="24">
        <f>ROUND(G17*Setup!$C$5,2)</f>
        <v>280.32</v>
      </c>
      <c r="H58" s="4"/>
      <c r="I58" s="4"/>
      <c r="J58" s="24">
        <f>ROUND(J17*Setup!$C$5,2)</f>
        <v>280.32</v>
      </c>
      <c r="K58" s="4"/>
      <c r="L58" s="4"/>
      <c r="M58" s="24">
        <f>ROUND(M17*Setup!$C$5,2)</f>
        <v>280.32</v>
      </c>
      <c r="N58" s="4"/>
      <c r="O58" s="4"/>
    </row>
    <row r="59" spans="1:15" x14ac:dyDescent="0.25">
      <c r="A59" s="17"/>
      <c r="B59" s="4" t="s">
        <v>544</v>
      </c>
      <c r="C59" s="6" t="s">
        <v>592</v>
      </c>
      <c r="D59" s="24">
        <f>ROUND(D20*Setup!$C$5,2)</f>
        <v>338.22</v>
      </c>
      <c r="E59" s="4"/>
      <c r="F59" s="4"/>
      <c r="G59" s="24">
        <f>ROUND(G20*Setup!$C$5,2)</f>
        <v>367.53</v>
      </c>
      <c r="H59" s="4"/>
      <c r="I59" s="4"/>
      <c r="J59" s="24">
        <f>ROUND(J20*Setup!$C$5,2)</f>
        <v>311.16</v>
      </c>
      <c r="K59" s="4"/>
      <c r="L59" s="4"/>
      <c r="M59" s="24">
        <f>ROUND(M20*Setup!$C$5,2)</f>
        <v>326.95</v>
      </c>
      <c r="N59" s="4"/>
      <c r="O59" s="4"/>
    </row>
    <row r="60" spans="1:15" x14ac:dyDescent="0.25">
      <c r="A60" s="17"/>
      <c r="B60" s="4" t="s">
        <v>546</v>
      </c>
      <c r="C60" s="6" t="s">
        <v>593</v>
      </c>
      <c r="D60" s="24">
        <f>ROUND(D21*Setup!$C$5,2)</f>
        <v>0</v>
      </c>
      <c r="E60" s="4"/>
      <c r="F60" s="4"/>
      <c r="G60" s="24">
        <f>ROUND(G21*Setup!$C$5,2)</f>
        <v>0</v>
      </c>
      <c r="H60" s="4"/>
      <c r="I60" s="4"/>
      <c r="J60" s="24">
        <f>ROUND(J21*Setup!$C$5,2)</f>
        <v>0</v>
      </c>
      <c r="K60" s="4"/>
      <c r="L60" s="4"/>
      <c r="M60" s="24">
        <f>ROUND(M21*Setup!$C$5,2)</f>
        <v>0</v>
      </c>
      <c r="N60" s="4"/>
      <c r="O60" s="4"/>
    </row>
    <row r="61" spans="1:15" x14ac:dyDescent="0.25">
      <c r="A61" s="17"/>
      <c r="B61" s="4" t="s">
        <v>547</v>
      </c>
      <c r="C61" s="6" t="s">
        <v>594</v>
      </c>
      <c r="D61" s="24">
        <f>ROUND(D22*Setup!$C$5,2)</f>
        <v>0</v>
      </c>
      <c r="E61" s="4"/>
      <c r="F61" s="4"/>
      <c r="G61" s="24">
        <f>ROUND(G22*Setup!$C$5,2)</f>
        <v>0</v>
      </c>
      <c r="H61" s="4"/>
      <c r="I61" s="4"/>
      <c r="J61" s="24">
        <f>ROUND(J22*Setup!$C$5,2)</f>
        <v>0</v>
      </c>
      <c r="K61" s="4"/>
      <c r="L61" s="4"/>
      <c r="M61" s="24">
        <f>ROUND(M22*Setup!$C$5,2)</f>
        <v>0</v>
      </c>
      <c r="N61" s="4"/>
      <c r="O61" s="4"/>
    </row>
    <row r="62" spans="1:15" x14ac:dyDescent="0.25">
      <c r="A62" s="17"/>
      <c r="B62" s="4" t="s">
        <v>551</v>
      </c>
      <c r="C62" s="6" t="s">
        <v>595</v>
      </c>
      <c r="D62" s="24">
        <f>ROUND(D25*Setup!$C$5,2)</f>
        <v>0</v>
      </c>
      <c r="E62" s="4"/>
      <c r="F62" s="4"/>
      <c r="G62" s="24">
        <f>ROUND(G25*Setup!$C$5,2)</f>
        <v>0</v>
      </c>
      <c r="H62" s="4"/>
      <c r="I62" s="4"/>
      <c r="J62" s="24">
        <f>ROUND(J25*Setup!$C$5,2)</f>
        <v>0</v>
      </c>
      <c r="K62" s="4"/>
      <c r="L62" s="4"/>
      <c r="M62" s="24">
        <f>ROUND(M25*Setup!$C$5,2)</f>
        <v>0</v>
      </c>
      <c r="N62" s="4"/>
      <c r="O62" s="4"/>
    </row>
    <row r="63" spans="1:15" x14ac:dyDescent="0.25">
      <c r="A63" s="17"/>
      <c r="B63" s="4" t="s">
        <v>552</v>
      </c>
      <c r="C63" s="6" t="s">
        <v>596</v>
      </c>
      <c r="D63" s="24">
        <f>ROUND(D26*Setup!$C$5,2)</f>
        <v>0</v>
      </c>
      <c r="E63" s="4"/>
      <c r="F63" s="4"/>
      <c r="G63" s="24">
        <f>ROUND(G26*Setup!$C$5,2)</f>
        <v>0</v>
      </c>
      <c r="H63" s="4"/>
      <c r="I63" s="4"/>
      <c r="J63" s="24">
        <f>ROUND(J26*Setup!$C$5,2)</f>
        <v>0</v>
      </c>
      <c r="K63" s="4"/>
      <c r="L63" s="4"/>
      <c r="M63" s="24">
        <f>ROUND(M26*Setup!$C$5,2)</f>
        <v>0</v>
      </c>
      <c r="N63" s="4"/>
      <c r="O63" s="4"/>
    </row>
    <row r="64" spans="1:15" x14ac:dyDescent="0.25">
      <c r="A64" s="17"/>
      <c r="B64" s="4" t="s">
        <v>553</v>
      </c>
      <c r="C64" s="6" t="s">
        <v>597</v>
      </c>
      <c r="D64" s="24">
        <f>ROUND(D27*Setup!$C$5,2)</f>
        <v>0</v>
      </c>
      <c r="E64" s="4"/>
      <c r="F64" s="4"/>
      <c r="G64" s="24">
        <f>ROUND(G27*Setup!$C$5,2)</f>
        <v>0</v>
      </c>
      <c r="H64" s="4"/>
      <c r="I64" s="4"/>
      <c r="J64" s="24">
        <f>ROUND(J27*Setup!$C$5,2)</f>
        <v>0</v>
      </c>
      <c r="K64" s="4"/>
      <c r="L64" s="4"/>
      <c r="M64" s="24">
        <f>ROUND(M27*Setup!$C$5,2)</f>
        <v>0</v>
      </c>
      <c r="N64" s="4"/>
      <c r="O64" s="4"/>
    </row>
    <row r="65" spans="1:15" x14ac:dyDescent="0.25">
      <c r="A65" s="17"/>
      <c r="B65" s="4" t="s">
        <v>554</v>
      </c>
      <c r="C65" s="6" t="s">
        <v>598</v>
      </c>
      <c r="D65" s="24">
        <f>ROUND(D28*Setup!$C$5,2)</f>
        <v>0</v>
      </c>
      <c r="E65" s="4"/>
      <c r="F65" s="4"/>
      <c r="G65" s="24">
        <f>ROUND(G28*Setup!$C$5,2)</f>
        <v>0</v>
      </c>
      <c r="H65" s="4"/>
      <c r="I65" s="4"/>
      <c r="J65" s="24">
        <f>ROUND(J28*Setup!$C$5,2)</f>
        <v>0</v>
      </c>
      <c r="K65" s="4"/>
      <c r="L65" s="4"/>
      <c r="M65" s="24">
        <f>ROUND(M28*Setup!$C$5,2)</f>
        <v>0</v>
      </c>
      <c r="N65" s="4"/>
      <c r="O65" s="4"/>
    </row>
    <row r="66" spans="1:15" x14ac:dyDescent="0.25">
      <c r="A66" s="17"/>
      <c r="B66" s="4" t="s">
        <v>555</v>
      </c>
      <c r="C66" s="6" t="s">
        <v>599</v>
      </c>
      <c r="D66" s="24">
        <f>ROUND(D29*Setup!$C$5,2)</f>
        <v>0</v>
      </c>
      <c r="E66" s="4"/>
      <c r="F66" s="4"/>
      <c r="G66" s="24">
        <f>ROUND(G29*Setup!$C$5,2)</f>
        <v>0</v>
      </c>
      <c r="H66" s="4"/>
      <c r="I66" s="4"/>
      <c r="J66" s="24">
        <f>ROUND(J29*Setup!$C$5,2)</f>
        <v>0</v>
      </c>
      <c r="K66" s="4"/>
      <c r="L66" s="4"/>
      <c r="M66" s="24">
        <f>ROUND(M29*Setup!$C$5,2)</f>
        <v>0</v>
      </c>
      <c r="N66" s="4"/>
      <c r="O66" s="4"/>
    </row>
    <row r="67" spans="1:15" x14ac:dyDescent="0.25">
      <c r="A67" s="17"/>
      <c r="B67" s="4" t="s">
        <v>556</v>
      </c>
      <c r="C67" s="6" t="s">
        <v>600</v>
      </c>
      <c r="D67" s="24">
        <f>ROUND(D30*Setup!$C$5,2)</f>
        <v>0</v>
      </c>
      <c r="E67" s="4"/>
      <c r="F67" s="4"/>
      <c r="G67" s="24">
        <f>ROUND(G30*Setup!$C$5,2)</f>
        <v>0</v>
      </c>
      <c r="H67" s="4"/>
      <c r="I67" s="4"/>
      <c r="J67" s="24">
        <f>ROUND(J30*Setup!$C$5,2)</f>
        <v>0</v>
      </c>
      <c r="K67" s="4"/>
      <c r="L67" s="4"/>
      <c r="M67" s="24">
        <f>ROUND(M30*Setup!$C$5,2)</f>
        <v>0</v>
      </c>
      <c r="N67" s="4"/>
      <c r="O67" s="4"/>
    </row>
    <row r="68" spans="1:15" x14ac:dyDescent="0.25">
      <c r="A68" s="17"/>
      <c r="B68" s="4" t="s">
        <v>548</v>
      </c>
      <c r="C68" s="6" t="s">
        <v>601</v>
      </c>
      <c r="D68" s="24">
        <f>ROUND(D23*Setup!$C$5,2)</f>
        <v>0</v>
      </c>
      <c r="E68" s="4"/>
      <c r="F68" s="4"/>
      <c r="G68" s="24">
        <f>ROUND(G23*Setup!$C$5,2)</f>
        <v>0</v>
      </c>
      <c r="H68" s="4"/>
      <c r="I68" s="4"/>
      <c r="J68" s="24">
        <f>ROUND(J23*Setup!$C$5,2)</f>
        <v>0</v>
      </c>
      <c r="K68" s="4"/>
      <c r="L68" s="4"/>
      <c r="M68" s="24">
        <f>ROUND(M23*Setup!$C$5,2)</f>
        <v>0</v>
      </c>
      <c r="N68" s="4"/>
      <c r="O68" s="4"/>
    </row>
    <row r="69" spans="1:15" x14ac:dyDescent="0.25">
      <c r="A69" s="17"/>
      <c r="B69" s="4" t="s">
        <v>550</v>
      </c>
      <c r="C69" s="6" t="s">
        <v>602</v>
      </c>
      <c r="D69" s="24">
        <f>ROUND(D24*Setup!$C$5,2)</f>
        <v>0</v>
      </c>
      <c r="E69" s="4"/>
      <c r="F69" s="4"/>
      <c r="G69" s="24">
        <f>ROUND(G24*Setup!$C$5,2)</f>
        <v>0</v>
      </c>
      <c r="H69" s="4"/>
      <c r="I69" s="4"/>
      <c r="J69" s="24">
        <f>ROUND(J24*Setup!$C$5,2)</f>
        <v>0</v>
      </c>
      <c r="K69" s="4"/>
      <c r="L69" s="4"/>
      <c r="M69" s="24">
        <f>ROUND(M24*Setup!$C$5,2)</f>
        <v>0</v>
      </c>
      <c r="N69" s="4"/>
      <c r="O69" s="4"/>
    </row>
    <row r="70" spans="1:15" x14ac:dyDescent="0.25">
      <c r="A70" s="17"/>
      <c r="B70" s="4" t="s">
        <v>603</v>
      </c>
      <c r="C70" s="6" t="s">
        <v>604</v>
      </c>
      <c r="D70" s="24">
        <f>(D58+D59+D61+D60)*D13+D62+D63+D64+D65+D66+D67+D68+D69</f>
        <v>618.54</v>
      </c>
      <c r="E70" s="4"/>
      <c r="F70" s="4"/>
      <c r="G70" s="24">
        <f>(G58+G59+G61+G60)*G13+G62+G63+G64+G65+G66+G67+G68+G69</f>
        <v>647.85</v>
      </c>
      <c r="H70" s="4"/>
      <c r="I70" s="4"/>
      <c r="J70" s="24">
        <f>(J58+J59+J61+J60)*J13+J62+J63+J64+J65+J66+J67+J68+J69</f>
        <v>591.48</v>
      </c>
      <c r="K70" s="4"/>
      <c r="L70" s="4"/>
      <c r="M70" s="24">
        <f>(M58+M59+M61+M60)*M13+M62+M63+M64+M65+M66+M67+M68+M69</f>
        <v>607.27</v>
      </c>
      <c r="N70" s="4"/>
      <c r="O70" s="4"/>
    </row>
    <row r="71" spans="1:15" x14ac:dyDescent="0.25">
      <c r="A71" s="17"/>
      <c r="B71" s="4" t="s">
        <v>605</v>
      </c>
      <c r="C71" s="6" t="s">
        <v>606</v>
      </c>
      <c r="D71" s="24">
        <f>D46*D13</f>
        <v>147.5</v>
      </c>
      <c r="E71" s="4"/>
      <c r="F71" s="4"/>
      <c r="G71" s="24">
        <f>G46*G13</f>
        <v>147.5</v>
      </c>
      <c r="H71" s="4"/>
      <c r="I71" s="4"/>
      <c r="J71" s="24">
        <f>J46*J13</f>
        <v>147.5</v>
      </c>
      <c r="K71" s="4"/>
      <c r="L71" s="4"/>
      <c r="M71" s="24">
        <f>M46*M13</f>
        <v>147.5</v>
      </c>
      <c r="N71" s="4"/>
      <c r="O71" s="4"/>
    </row>
    <row r="72" spans="1:15" x14ac:dyDescent="0.25">
      <c r="A72" s="17"/>
      <c r="B72" s="10" t="s">
        <v>74</v>
      </c>
      <c r="C72" s="6" t="s">
        <v>607</v>
      </c>
      <c r="D72" s="25">
        <f>D70+D71</f>
        <v>766.04</v>
      </c>
      <c r="E72" s="4"/>
      <c r="F72" s="4"/>
      <c r="G72" s="25">
        <f>G70+G71</f>
        <v>795.35</v>
      </c>
      <c r="H72" s="4"/>
      <c r="I72" s="4"/>
      <c r="J72" s="25">
        <f>J70+J71</f>
        <v>738.98</v>
      </c>
      <c r="K72" s="4"/>
      <c r="L72" s="4"/>
      <c r="M72" s="25">
        <f>M70+M71</f>
        <v>754.77</v>
      </c>
      <c r="N72" s="4"/>
      <c r="O72" s="4"/>
    </row>
    <row r="73" spans="1:15" x14ac:dyDescent="0.25">
      <c r="A73" s="17"/>
      <c r="B73" s="10" t="s">
        <v>76</v>
      </c>
      <c r="C73" s="6" t="s">
        <v>77</v>
      </c>
      <c r="D73" s="25">
        <f>D72+D55</f>
        <v>766.04</v>
      </c>
      <c r="E73" s="4"/>
      <c r="F73" s="4"/>
      <c r="G73" s="25">
        <f>G72+G55</f>
        <v>795.35</v>
      </c>
      <c r="H73" s="4"/>
      <c r="I73" s="4"/>
      <c r="J73" s="25">
        <f>J72+J55</f>
        <v>738.98</v>
      </c>
      <c r="K73" s="4"/>
      <c r="L73" s="4"/>
      <c r="M73" s="25">
        <f>M72+M55</f>
        <v>754.77</v>
      </c>
      <c r="N73" s="4"/>
      <c r="O73" s="4"/>
    </row>
    <row r="74" spans="1:15" x14ac:dyDescent="0.25">
      <c r="A74" s="17"/>
      <c r="B74" s="4" t="s">
        <v>608</v>
      </c>
      <c r="C74" s="6" t="s">
        <v>609</v>
      </c>
      <c r="D74" s="24">
        <f>D73-D56</f>
        <v>69.9</v>
      </c>
      <c r="E74" s="4"/>
      <c r="F74" s="4"/>
      <c r="G74" s="24">
        <f>G73-G56</f>
        <v>73.21</v>
      </c>
      <c r="H74" s="4"/>
      <c r="I74" s="4"/>
      <c r="J74" s="24">
        <f>J73-J56</f>
        <v>66.84</v>
      </c>
      <c r="K74" s="4"/>
      <c r="L74" s="4"/>
      <c r="M74" s="24">
        <f>M73-M56</f>
        <v>68.63</v>
      </c>
      <c r="N74" s="4"/>
      <c r="O74" s="4"/>
    </row>
    <row r="75" spans="1:15" x14ac:dyDescent="0.25">
      <c r="A75" s="17"/>
      <c r="B75" s="4" t="s">
        <v>610</v>
      </c>
      <c r="C75" s="6" t="s">
        <v>611</v>
      </c>
      <c r="D75" s="24">
        <f>D50+D40*D55</f>
        <v>696.14</v>
      </c>
      <c r="E75" s="4"/>
      <c r="F75" s="4"/>
      <c r="G75" s="24">
        <f>G50+G40*G55</f>
        <v>722.14</v>
      </c>
      <c r="H75" s="4"/>
      <c r="I75" s="4"/>
      <c r="J75" s="24">
        <f>J50+J40*J55</f>
        <v>672.14</v>
      </c>
      <c r="K75" s="4"/>
      <c r="L75" s="4"/>
      <c r="M75" s="24">
        <f>M50+M40*M55</f>
        <v>686.14</v>
      </c>
      <c r="N75" s="4"/>
      <c r="O75" s="4"/>
    </row>
    <row r="76" spans="1:15" x14ac:dyDescent="0.25">
      <c r="A76" s="17"/>
      <c r="B76" s="4" t="s">
        <v>612</v>
      </c>
      <c r="C76" s="6" t="s">
        <v>613</v>
      </c>
      <c r="D76" s="24">
        <f>IF(D44&gt;0,D16/D44,0)</f>
        <v>112</v>
      </c>
      <c r="E76" s="4"/>
      <c r="F76" s="4"/>
      <c r="G76" s="24">
        <f>IF(G44&gt;0,G16/G44,0)</f>
        <v>112</v>
      </c>
      <c r="H76" s="4"/>
      <c r="I76" s="4"/>
      <c r="J76" s="24">
        <f>IF(J44&gt;0,J16/J44,0)</f>
        <v>112</v>
      </c>
      <c r="K76" s="4"/>
      <c r="L76" s="4"/>
      <c r="M76" s="24">
        <f>IF(M44&gt;0,M16/M44,0)</f>
        <v>112</v>
      </c>
      <c r="N76" s="4"/>
      <c r="O76" s="4"/>
    </row>
    <row r="77" spans="1:15" x14ac:dyDescent="0.25">
      <c r="A77" s="17"/>
      <c r="B77" s="4" t="s">
        <v>614</v>
      </c>
      <c r="C77" s="6" t="s">
        <v>615</v>
      </c>
      <c r="D77" s="12" t="str">
        <f>IF(AND(D44&gt;0,D76&gt;D14),"YES","No")</f>
        <v>No</v>
      </c>
      <c r="E77" s="4"/>
      <c r="F77" s="4"/>
      <c r="G77" s="12" t="str">
        <f>IF(AND(G44&gt;0,G76&gt;G14),"YES","No")</f>
        <v>No</v>
      </c>
      <c r="H77" s="4"/>
      <c r="I77" s="4"/>
      <c r="J77" s="12" t="str">
        <f>IF(AND(J44&gt;0,J76&gt;J14),"YES","No")</f>
        <v>No</v>
      </c>
      <c r="K77" s="4"/>
      <c r="L77" s="4"/>
      <c r="M77" s="12" t="str">
        <f>IF(AND(M44&gt;0,M76&gt;M14),"YES","No")</f>
        <v>No</v>
      </c>
      <c r="N77" s="4"/>
      <c r="O77" s="4"/>
    </row>
    <row r="78" spans="1:15" x14ac:dyDescent="0.25">
      <c r="A78" s="17"/>
      <c r="B78" s="4" t="s">
        <v>616</v>
      </c>
      <c r="C78" s="6" t="s">
        <v>617</v>
      </c>
      <c r="D78" s="24">
        <f>IF(D44&gt;0,D17/D44,0)</f>
        <v>124.32</v>
      </c>
      <c r="E78" s="4"/>
      <c r="F78" s="4"/>
      <c r="G78" s="24">
        <f>IF(G44&gt;0,G17/G44,0)</f>
        <v>124.32</v>
      </c>
      <c r="H78" s="4"/>
      <c r="I78" s="4"/>
      <c r="J78" s="24">
        <f>IF(J44&gt;0,J17/J44,0)</f>
        <v>124.32</v>
      </c>
      <c r="K78" s="4"/>
      <c r="L78" s="4"/>
      <c r="M78" s="24">
        <f>IF(M44&gt;0,M17/M44,0)</f>
        <v>124.32</v>
      </c>
      <c r="N78" s="4"/>
      <c r="O78" s="4"/>
    </row>
    <row r="79" spans="1:15" x14ac:dyDescent="0.25">
      <c r="A79" s="17"/>
      <c r="B79" s="4" t="s">
        <v>618</v>
      </c>
      <c r="C79" s="6" t="s">
        <v>619</v>
      </c>
      <c r="D79" s="24">
        <f>ROUND(D16+D18+D19-D17,2)</f>
        <v>0</v>
      </c>
      <c r="E79" s="4"/>
      <c r="F79" s="4"/>
      <c r="G79" s="24">
        <f>ROUND(G16+G18+G19-G17,2)</f>
        <v>0</v>
      </c>
      <c r="H79" s="4"/>
      <c r="I79" s="4"/>
      <c r="J79" s="24">
        <f>ROUND(J16+J18+J19-J17,2)</f>
        <v>0</v>
      </c>
      <c r="K79" s="4"/>
      <c r="L79" s="4"/>
      <c r="M79" s="24">
        <f>ROUND(M16+M18+M19-M17,2)</f>
        <v>0</v>
      </c>
      <c r="N79" s="4"/>
      <c r="O79" s="4"/>
    </row>
    <row r="80" spans="1:15" x14ac:dyDescent="0.25">
      <c r="A80" s="17"/>
      <c r="B80" s="4" t="s">
        <v>620</v>
      </c>
      <c r="C80" s="6" t="s">
        <v>621</v>
      </c>
      <c r="D80" s="24">
        <f>D46+D58+D59+D61+D60</f>
        <v>766.04</v>
      </c>
      <c r="E80" s="4"/>
      <c r="F80" s="4"/>
      <c r="G80" s="24">
        <f>G46+G58+G59+G61+G60</f>
        <v>795.35</v>
      </c>
      <c r="H80" s="4"/>
      <c r="I80" s="4"/>
      <c r="J80" s="24">
        <f>J46+J58+J59+J61+J60</f>
        <v>738.98</v>
      </c>
      <c r="K80" s="4"/>
      <c r="L80" s="4"/>
      <c r="M80" s="24">
        <f>M46+M58+M59+M61+M60</f>
        <v>754.77</v>
      </c>
      <c r="N80" s="4"/>
      <c r="O80" s="4"/>
    </row>
    <row r="82" spans="1:15" x14ac:dyDescent="0.25">
      <c r="A82" s="3" t="s">
        <v>622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1:15" x14ac:dyDescent="0.25">
      <c r="A83" s="16" t="s">
        <v>517</v>
      </c>
      <c r="B83" s="16" t="s">
        <v>518</v>
      </c>
      <c r="C83" s="16" t="s">
        <v>519</v>
      </c>
      <c r="D83" s="16" t="s">
        <v>837</v>
      </c>
      <c r="E83" s="16" t="s">
        <v>624</v>
      </c>
      <c r="F83" s="16" t="s">
        <v>625</v>
      </c>
      <c r="G83" s="16" t="s">
        <v>838</v>
      </c>
      <c r="H83" s="16" t="s">
        <v>624</v>
      </c>
      <c r="I83" s="16" t="s">
        <v>625</v>
      </c>
      <c r="J83" s="16" t="s">
        <v>839</v>
      </c>
      <c r="K83" s="16" t="s">
        <v>624</v>
      </c>
      <c r="L83" s="16" t="s">
        <v>625</v>
      </c>
      <c r="M83" s="16" t="s">
        <v>840</v>
      </c>
      <c r="N83" s="16" t="s">
        <v>624</v>
      </c>
      <c r="O83" s="16" t="s">
        <v>625</v>
      </c>
    </row>
    <row r="84" spans="1:15" x14ac:dyDescent="0.25">
      <c r="A84" s="17" t="s">
        <v>626</v>
      </c>
      <c r="B84" s="4" t="s">
        <v>61</v>
      </c>
      <c r="C84" s="6" t="s">
        <v>627</v>
      </c>
      <c r="D84" s="18">
        <f>D44</f>
        <v>2</v>
      </c>
      <c r="E84" s="26"/>
      <c r="F84" s="27" t="str">
        <f>IF(E84="","",IF(ABS(E84-D84)&lt;=Setup!$C$6,"PASS","FAIL"))</f>
        <v/>
      </c>
      <c r="G84" s="18">
        <f>G44</f>
        <v>2</v>
      </c>
      <c r="H84" s="26"/>
      <c r="I84" s="27" t="str">
        <f>IF(H84="","",IF(ABS(H84-G84)&lt;=Setup!$C$6,"PASS","FAIL"))</f>
        <v/>
      </c>
      <c r="J84" s="18">
        <f>J44</f>
        <v>2</v>
      </c>
      <c r="K84" s="26"/>
      <c r="L84" s="27" t="str">
        <f>IF(K84="","",IF(ABS(K84-J84)&lt;=Setup!$C$6,"PASS","FAIL"))</f>
        <v/>
      </c>
      <c r="M84" s="18">
        <f>M44</f>
        <v>2</v>
      </c>
      <c r="N84" s="26"/>
      <c r="O84" s="27" t="str">
        <f>IF(N84="","",IF(ABS(N84-M84)&lt;=Setup!$C$6,"PASS","FAIL"))</f>
        <v/>
      </c>
    </row>
    <row r="85" spans="1:15" x14ac:dyDescent="0.25">
      <c r="A85" s="17" t="s">
        <v>629</v>
      </c>
      <c r="B85" s="4" t="s">
        <v>630</v>
      </c>
      <c r="C85" s="6" t="s">
        <v>627</v>
      </c>
      <c r="D85" s="24">
        <f>D46</f>
        <v>147.5</v>
      </c>
      <c r="E85" s="28"/>
      <c r="F85" s="27" t="str">
        <f>IF(E85="","",IF(ABS(E85-D85)&lt;=Setup!$C$6,"PASS","FAIL"))</f>
        <v/>
      </c>
      <c r="G85" s="24">
        <f>G46</f>
        <v>147.5</v>
      </c>
      <c r="H85" s="28"/>
      <c r="I85" s="27" t="str">
        <f>IF(H85="","",IF(ABS(H85-G85)&lt;=Setup!$C$6,"PASS","FAIL"))</f>
        <v/>
      </c>
      <c r="J85" s="24">
        <f>J46</f>
        <v>147.5</v>
      </c>
      <c r="K85" s="28"/>
      <c r="L85" s="27" t="str">
        <f>IF(K85="","",IF(ABS(K85-J85)&lt;=Setup!$C$6,"PASS","FAIL"))</f>
        <v/>
      </c>
      <c r="M85" s="24">
        <f>M46</f>
        <v>147.5</v>
      </c>
      <c r="N85" s="28"/>
      <c r="O85" s="27" t="str">
        <f>IF(N85="","",IF(ABS(N85-M85)&lt;=Setup!$C$6,"PASS","FAIL"))</f>
        <v/>
      </c>
    </row>
    <row r="86" spans="1:15" x14ac:dyDescent="0.25">
      <c r="A86" s="17" t="s">
        <v>632</v>
      </c>
      <c r="B86" s="4" t="s">
        <v>68</v>
      </c>
      <c r="C86" s="6" t="s">
        <v>627</v>
      </c>
      <c r="D86" s="24">
        <f>D50</f>
        <v>696.14</v>
      </c>
      <c r="E86" s="28"/>
      <c r="F86" s="27" t="str">
        <f>IF(E86="","",IF(ABS(E86-D86)&lt;=Setup!$C$6,"PASS","FAIL"))</f>
        <v/>
      </c>
      <c r="G86" s="24">
        <f>G50</f>
        <v>722.14</v>
      </c>
      <c r="H86" s="28"/>
      <c r="I86" s="27" t="str">
        <f>IF(H86="","",IF(ABS(H86-G86)&lt;=Setup!$C$6,"PASS","FAIL"))</f>
        <v/>
      </c>
      <c r="J86" s="24">
        <f>J50</f>
        <v>672.14</v>
      </c>
      <c r="K86" s="28"/>
      <c r="L86" s="27" t="str">
        <f>IF(K86="","",IF(ABS(K86-J86)&lt;=Setup!$C$6,"PASS","FAIL"))</f>
        <v/>
      </c>
      <c r="M86" s="24">
        <f>M50</f>
        <v>686.14</v>
      </c>
      <c r="N86" s="28"/>
      <c r="O86" s="27" t="str">
        <f>IF(N86="","",IF(ABS(N86-M86)&lt;=Setup!$C$6,"PASS","FAIL"))</f>
        <v/>
      </c>
    </row>
    <row r="87" spans="1:15" x14ac:dyDescent="0.25">
      <c r="A87" s="17" t="s">
        <v>633</v>
      </c>
      <c r="B87" s="4" t="s">
        <v>634</v>
      </c>
      <c r="C87" s="6" t="s">
        <v>635</v>
      </c>
      <c r="D87" s="24">
        <f>D75</f>
        <v>696.14</v>
      </c>
      <c r="E87" s="28"/>
      <c r="F87" s="27" t="str">
        <f>IF(E87="","",IF(ABS(E87-D87)&lt;=Setup!$C$6,"PASS","FAIL"))</f>
        <v/>
      </c>
      <c r="G87" s="24">
        <f>G75</f>
        <v>722.14</v>
      </c>
      <c r="H87" s="28"/>
      <c r="I87" s="27" t="str">
        <f>IF(H87="","",IF(ABS(H87-G87)&lt;=Setup!$C$6,"PASS","FAIL"))</f>
        <v/>
      </c>
      <c r="J87" s="24">
        <f>J75</f>
        <v>672.14</v>
      </c>
      <c r="K87" s="28"/>
      <c r="L87" s="27" t="str">
        <f>IF(K87="","",IF(ABS(K87-J87)&lt;=Setup!$C$6,"PASS","FAIL"))</f>
        <v/>
      </c>
      <c r="M87" s="24">
        <f>M75</f>
        <v>686.14</v>
      </c>
      <c r="N87" s="28"/>
      <c r="O87" s="27" t="str">
        <f>IF(N87="","",IF(ABS(N87-M87)&lt;=Setup!$C$6,"PASS","FAIL"))</f>
        <v/>
      </c>
    </row>
    <row r="88" spans="1:15" x14ac:dyDescent="0.25">
      <c r="A88" s="17" t="s">
        <v>638</v>
      </c>
      <c r="B88" s="4" t="s">
        <v>71</v>
      </c>
      <c r="C88" s="6" t="s">
        <v>639</v>
      </c>
      <c r="D88" s="24">
        <f>D55</f>
        <v>0</v>
      </c>
      <c r="E88" s="28"/>
      <c r="F88" s="27" t="str">
        <f>IF(E88="","",IF(ABS(E88-D88)&lt;=Setup!$C$6,"PASS","FAIL"))</f>
        <v/>
      </c>
      <c r="G88" s="24">
        <f>G55</f>
        <v>0</v>
      </c>
      <c r="H88" s="28"/>
      <c r="I88" s="27" t="str">
        <f>IF(H88="","",IF(ABS(H88-G88)&lt;=Setup!$C$6,"PASS","FAIL"))</f>
        <v/>
      </c>
      <c r="J88" s="24">
        <f>J55</f>
        <v>0</v>
      </c>
      <c r="K88" s="28"/>
      <c r="L88" s="27" t="str">
        <f>IF(K88="","",IF(ABS(K88-J88)&lt;=Setup!$C$6,"PASS","FAIL"))</f>
        <v/>
      </c>
      <c r="M88" s="24">
        <f>M55</f>
        <v>0</v>
      </c>
      <c r="N88" s="28"/>
      <c r="O88" s="27" t="str">
        <f>IF(N88="","",IF(ABS(N88-M88)&lt;=Setup!$C$6,"PASS","FAIL"))</f>
        <v/>
      </c>
    </row>
    <row r="89" spans="1:15" x14ac:dyDescent="0.25">
      <c r="A89" s="17" t="s">
        <v>641</v>
      </c>
      <c r="B89" s="4" t="s">
        <v>74</v>
      </c>
      <c r="C89" s="6" t="s">
        <v>88</v>
      </c>
      <c r="D89" s="24">
        <f>D72</f>
        <v>766.04</v>
      </c>
      <c r="E89" s="28"/>
      <c r="F89" s="27" t="str">
        <f>IF(E89="","",IF(ABS(E89-D89)&lt;=Setup!$C$6,"PASS","FAIL"))</f>
        <v/>
      </c>
      <c r="G89" s="24">
        <f>G72</f>
        <v>795.35</v>
      </c>
      <c r="H89" s="28"/>
      <c r="I89" s="27" t="str">
        <f>IF(H89="","",IF(ABS(H89-G89)&lt;=Setup!$C$6,"PASS","FAIL"))</f>
        <v/>
      </c>
      <c r="J89" s="24">
        <f>J72</f>
        <v>738.98</v>
      </c>
      <c r="K89" s="28"/>
      <c r="L89" s="27" t="str">
        <f>IF(K89="","",IF(ABS(K89-J89)&lt;=Setup!$C$6,"PASS","FAIL"))</f>
        <v/>
      </c>
      <c r="M89" s="24">
        <f>M72</f>
        <v>754.77</v>
      </c>
      <c r="N89" s="28"/>
      <c r="O89" s="27" t="str">
        <f>IF(N89="","",IF(ABS(N89-M89)&lt;=Setup!$C$6,"PASS","FAIL"))</f>
        <v/>
      </c>
    </row>
    <row r="90" spans="1:15" x14ac:dyDescent="0.25">
      <c r="A90" s="17" t="s">
        <v>642</v>
      </c>
      <c r="B90" s="4" t="s">
        <v>76</v>
      </c>
      <c r="C90" s="6" t="s">
        <v>88</v>
      </c>
      <c r="D90" s="24">
        <f>D73</f>
        <v>766.04</v>
      </c>
      <c r="E90" s="28"/>
      <c r="F90" s="27" t="str">
        <f>IF(E90="","",IF(ABS(E90-D90)&lt;=Setup!$C$6,"PASS","FAIL"))</f>
        <v/>
      </c>
      <c r="G90" s="24">
        <f>G73</f>
        <v>795.35</v>
      </c>
      <c r="H90" s="28"/>
      <c r="I90" s="27" t="str">
        <f>IF(H90="","",IF(ABS(H90-G90)&lt;=Setup!$C$6,"PASS","FAIL"))</f>
        <v/>
      </c>
      <c r="J90" s="24">
        <f>J73</f>
        <v>738.98</v>
      </c>
      <c r="K90" s="28"/>
      <c r="L90" s="27" t="str">
        <f>IF(K90="","",IF(ABS(K90-J90)&lt;=Setup!$C$6,"PASS","FAIL"))</f>
        <v/>
      </c>
      <c r="M90" s="24">
        <f>M73</f>
        <v>754.77</v>
      </c>
      <c r="N90" s="28"/>
      <c r="O90" s="27" t="str">
        <f>IF(N90="","",IF(ABS(N90-M90)&lt;=Setup!$C$6,"PASS","FAIL"))</f>
        <v/>
      </c>
    </row>
    <row r="91" spans="1:15" x14ac:dyDescent="0.25">
      <c r="A91" s="17" t="s">
        <v>657</v>
      </c>
      <c r="B91" s="4" t="s">
        <v>658</v>
      </c>
      <c r="C91" s="6" t="s">
        <v>659</v>
      </c>
      <c r="D91" s="24">
        <f>D73</f>
        <v>766.04</v>
      </c>
      <c r="E91" s="28"/>
      <c r="F91" s="27" t="str">
        <f>IF(E91="","",IF(ABS(E91-D91)&lt;=Setup!$C$6,"PASS","FAIL"))</f>
        <v/>
      </c>
      <c r="G91" s="24">
        <f>G73</f>
        <v>795.35</v>
      </c>
      <c r="H91" s="28"/>
      <c r="I91" s="27" t="str">
        <f>IF(H91="","",IF(ABS(H91-G91)&lt;=Setup!$C$6,"PASS","FAIL"))</f>
        <v/>
      </c>
      <c r="J91" s="24">
        <f>J73</f>
        <v>738.98</v>
      </c>
      <c r="K91" s="28"/>
      <c r="L91" s="27" t="str">
        <f>IF(K91="","",IF(ABS(K91-J91)&lt;=Setup!$C$6,"PASS","FAIL"))</f>
        <v/>
      </c>
      <c r="M91" s="24">
        <f>M73</f>
        <v>754.77</v>
      </c>
      <c r="N91" s="28"/>
      <c r="O91" s="27" t="str">
        <f>IF(N91="","",IF(ABS(N91-M91)&lt;=Setup!$C$6,"PASS","FAIL"))</f>
        <v/>
      </c>
    </row>
    <row r="92" spans="1:15" x14ac:dyDescent="0.25">
      <c r="A92" s="17" t="s">
        <v>663</v>
      </c>
      <c r="B92" s="4" t="s">
        <v>664</v>
      </c>
      <c r="C92" s="6" t="s">
        <v>93</v>
      </c>
      <c r="D92" s="24">
        <f>D73</f>
        <v>766.04</v>
      </c>
      <c r="E92" s="28"/>
      <c r="F92" s="27" t="str">
        <f>IF(E92="","",IF(ABS(E92-D92)&lt;=Setup!$C$6,"PASS","FAIL"))</f>
        <v/>
      </c>
      <c r="G92" s="24">
        <f>G73</f>
        <v>795.35</v>
      </c>
      <c r="H92" s="28"/>
      <c r="I92" s="27" t="str">
        <f>IF(H92="","",IF(ABS(H92-G92)&lt;=Setup!$C$6,"PASS","FAIL"))</f>
        <v/>
      </c>
      <c r="J92" s="24">
        <f>J73</f>
        <v>738.98</v>
      </c>
      <c r="K92" s="28"/>
      <c r="L92" s="27" t="str">
        <f>IF(K92="","",IF(ABS(K92-J92)&lt;=Setup!$C$6,"PASS","FAIL"))</f>
        <v/>
      </c>
      <c r="M92" s="24">
        <f>M73</f>
        <v>754.77</v>
      </c>
      <c r="N92" s="28"/>
      <c r="O92" s="27" t="str">
        <f>IF(N92="","",IF(ABS(N92-M92)&lt;=Setup!$C$6,"PASS","FAIL"))</f>
        <v/>
      </c>
    </row>
    <row r="93" spans="1:15" x14ac:dyDescent="0.25">
      <c r="A93" s="17" t="s">
        <v>665</v>
      </c>
      <c r="B93" s="4" t="s">
        <v>666</v>
      </c>
      <c r="C93" s="6" t="s">
        <v>667</v>
      </c>
      <c r="D93" s="24">
        <f>D76</f>
        <v>112</v>
      </c>
      <c r="E93" s="28"/>
      <c r="F93" s="27" t="str">
        <f>IF(E93="","",IF(ABS(E93-D93)&lt;=Setup!$C$6,"PASS","FAIL"))</f>
        <v/>
      </c>
      <c r="G93" s="24">
        <f>G76</f>
        <v>112</v>
      </c>
      <c r="H93" s="28"/>
      <c r="I93" s="27" t="str">
        <f>IF(H93="","",IF(ABS(H93-G93)&lt;=Setup!$C$6,"PASS","FAIL"))</f>
        <v/>
      </c>
      <c r="J93" s="24">
        <f>J76</f>
        <v>112</v>
      </c>
      <c r="K93" s="28"/>
      <c r="L93" s="27" t="str">
        <f>IF(K93="","",IF(ABS(K93-J93)&lt;=Setup!$C$6,"PASS","FAIL"))</f>
        <v/>
      </c>
      <c r="M93" s="24">
        <f>M76</f>
        <v>112</v>
      </c>
      <c r="N93" s="28"/>
      <c r="O93" s="27" t="str">
        <f>IF(N93="","",IF(ABS(N93-M93)&lt;=Setup!$C$6,"PASS","FAIL"))</f>
        <v/>
      </c>
    </row>
    <row r="94" spans="1:15" x14ac:dyDescent="0.25">
      <c r="A94" s="17" t="s">
        <v>668</v>
      </c>
      <c r="B94" s="4" t="s">
        <v>669</v>
      </c>
      <c r="C94" s="6" t="s">
        <v>83</v>
      </c>
      <c r="D94" s="12" t="str">
        <f>D77</f>
        <v>No</v>
      </c>
      <c r="E94" s="9"/>
      <c r="F94" s="27" t="str">
        <f>IF(E94="","",IF(UPPER(E94)=UPPER(D94),"PASS","FAIL"))</f>
        <v/>
      </c>
      <c r="G94" s="12" t="str">
        <f>G77</f>
        <v>No</v>
      </c>
      <c r="H94" s="9"/>
      <c r="I94" s="27" t="str">
        <f>IF(H94="","",IF(UPPER(H94)=UPPER(G94),"PASS","FAIL"))</f>
        <v/>
      </c>
      <c r="J94" s="12" t="str">
        <f>J77</f>
        <v>No</v>
      </c>
      <c r="K94" s="9"/>
      <c r="L94" s="27" t="str">
        <f>IF(K94="","",IF(UPPER(K94)=UPPER(J94),"PASS","FAIL"))</f>
        <v/>
      </c>
      <c r="M94" s="12" t="str">
        <f>M77</f>
        <v>No</v>
      </c>
      <c r="N94" s="9"/>
      <c r="O94" s="27" t="str">
        <f>IF(N94="","",IF(UPPER(N94)=UPPER(M94),"PASS","FAIL"))</f>
        <v/>
      </c>
    </row>
    <row r="95" spans="2:2" x14ac:dyDescent="0.25">
      <c r="B95" s="2" t="s">
        <v>673</v>
      </c>
    </row>
  </sheetData>
  <mergeCells count="2">
    <mergeCell ref="A2:O2"/>
    <mergeCell ref="A3:O3"/>
  </mergeCells>
  <conditionalFormatting sqref="A1:O95">
    <cfRule type="cellIs" dxfId="54" priority="1" operator="equal">
      <formula>"PASS"</formula>
    </cfRule>
    <cfRule type="cellIs" dxfId="55" priority="2" operator="equal">
      <formula>"OK"</formula>
    </cfRule>
    <cfRule type="cellIs" dxfId="56" priority="3" operator="equal">
      <formula>"Covered"</formula>
    </cfRule>
    <cfRule type="cellIs" dxfId="57" priority="4" operator="equal">
      <formula>"FAIL"</formula>
    </cfRule>
    <cfRule type="cellIs" dxfId="58" priority="5" operator="equal">
      <formula>"CHECK"</formula>
    </cfRule>
    <cfRule type="cellIs" dxfId="59" priority="6" operator="equal">
      <formula>"GAP"</formula>
    </cfRule>
  </conditionalFormatting>
  <pageSetup orientation="landscape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8F82"/>
    <pageSetUpPr fitToPage="1"/>
  </sheetPr>
  <dimension ref="A1:M175"/>
  <sheetViews>
    <sheetView workbookViewId="0" showGridLines="0"/>
  </sheetViews>
  <sheetFormatPr defaultRowHeight="15" outlineLevelRow="0" outlineLevelCol="0" x14ac:dyDescent="55"/>
  <cols>
    <col min="1" max="1" width="8" customWidth="1"/>
    <col min="2" max="2" width="40" customWidth="1"/>
    <col min="3" max="3" width="52" customWidth="1"/>
    <col min="4" max="9" width="15" customWidth="1"/>
    <col min="10" max="13" width="14" customWidth="1"/>
  </cols>
  <sheetData>
    <row r="1" ht="26" customHeight="1" spans="1:1" x14ac:dyDescent="0.25">
      <c r="A1" s="1" t="s">
        <v>841</v>
      </c>
    </row>
    <row r="2" ht="42" customHeight="1" spans="1:13" x14ac:dyDescent="0.25">
      <c r="A2" s="2" t="s">
        <v>151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5">
      <c r="A3" s="2" t="s">
        <v>842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5" spans="1:13" x14ac:dyDescent="0.25">
      <c r="A5" s="3" t="s">
        <v>516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9" x14ac:dyDescent="0.25">
      <c r="A6" s="16" t="s">
        <v>517</v>
      </c>
      <c r="B6" s="16" t="s">
        <v>518</v>
      </c>
      <c r="C6" s="16" t="s">
        <v>519</v>
      </c>
      <c r="D6" s="16" t="s">
        <v>473</v>
      </c>
      <c r="E6" s="16"/>
      <c r="F6" s="16"/>
      <c r="G6" s="16" t="s">
        <v>482</v>
      </c>
      <c r="H6" s="16"/>
      <c r="I6" s="16"/>
    </row>
    <row r="7" spans="1:9" x14ac:dyDescent="0.25">
      <c r="A7" s="17"/>
      <c r="B7" s="4" t="s">
        <v>520</v>
      </c>
      <c r="C7" s="6" t="s">
        <v>521</v>
      </c>
      <c r="D7" s="8" t="s">
        <v>843</v>
      </c>
      <c r="E7" s="4"/>
      <c r="F7" s="4"/>
      <c r="G7" s="8" t="s">
        <v>844</v>
      </c>
      <c r="H7" s="4"/>
      <c r="I7" s="4"/>
    </row>
    <row r="8" spans="1:9" x14ac:dyDescent="0.25">
      <c r="A8" s="17"/>
      <c r="B8" s="4" t="s">
        <v>523</v>
      </c>
      <c r="C8" s="6"/>
      <c r="D8" s="8" t="s">
        <v>845</v>
      </c>
      <c r="E8" s="4"/>
      <c r="F8" s="4"/>
      <c r="G8" s="8" t="s">
        <v>846</v>
      </c>
      <c r="H8" s="4"/>
      <c r="I8" s="4"/>
    </row>
    <row r="9" spans="1:9" x14ac:dyDescent="0.25">
      <c r="A9" s="17"/>
      <c r="B9" s="4" t="s">
        <v>525</v>
      </c>
      <c r="C9" s="6" t="s">
        <v>526</v>
      </c>
      <c r="D9" s="8" t="s">
        <v>847</v>
      </c>
      <c r="E9" s="4"/>
      <c r="F9" s="4"/>
      <c r="G9" s="8" t="s">
        <v>847</v>
      </c>
      <c r="H9" s="4"/>
      <c r="I9" s="4"/>
    </row>
    <row r="10" spans="1:9" x14ac:dyDescent="0.25">
      <c r="A10" s="17"/>
      <c r="B10" s="4" t="s">
        <v>528</v>
      </c>
      <c r="C10" s="6" t="s">
        <v>529</v>
      </c>
      <c r="D10" s="8" t="s">
        <v>530</v>
      </c>
      <c r="E10" s="4"/>
      <c r="F10" s="4"/>
      <c r="G10" s="8" t="s">
        <v>530</v>
      </c>
      <c r="H10" s="4"/>
      <c r="I10" s="4"/>
    </row>
    <row r="11" spans="1:9" x14ac:dyDescent="0.25">
      <c r="A11" s="17"/>
      <c r="B11" s="4" t="s">
        <v>531</v>
      </c>
      <c r="C11" s="6"/>
      <c r="D11" s="20">
        <v>46365</v>
      </c>
      <c r="E11" s="4"/>
      <c r="F11" s="4"/>
      <c r="G11" s="20">
        <v>46365</v>
      </c>
      <c r="H11" s="4"/>
      <c r="I11" s="4"/>
    </row>
    <row r="12" spans="1:9" x14ac:dyDescent="0.25">
      <c r="A12" s="17"/>
      <c r="B12" s="4" t="s">
        <v>532</v>
      </c>
      <c r="C12" s="6"/>
      <c r="D12" s="20">
        <v>46367</v>
      </c>
      <c r="E12" s="4"/>
      <c r="F12" s="4"/>
      <c r="G12" s="20">
        <v>46367</v>
      </c>
      <c r="H12" s="4"/>
      <c r="I12" s="4"/>
    </row>
    <row r="13" spans="1:9" x14ac:dyDescent="0.25">
      <c r="A13" s="17"/>
      <c r="B13" s="4" t="s">
        <v>533</v>
      </c>
      <c r="C13" s="6" t="s">
        <v>534</v>
      </c>
      <c r="D13" s="21">
        <v>1</v>
      </c>
      <c r="E13" s="4"/>
      <c r="F13" s="4"/>
      <c r="G13" s="21">
        <v>1</v>
      </c>
      <c r="H13" s="4"/>
      <c r="I13" s="4"/>
    </row>
    <row r="14" spans="1:9" x14ac:dyDescent="0.25">
      <c r="A14" s="17"/>
      <c r="B14" s="4" t="s">
        <v>535</v>
      </c>
      <c r="C14" s="6" t="s">
        <v>536</v>
      </c>
      <c r="D14" s="7">
        <v>125</v>
      </c>
      <c r="E14" s="4"/>
      <c r="F14" s="4"/>
      <c r="G14" s="7">
        <v>125</v>
      </c>
      <c r="H14" s="4"/>
      <c r="I14" s="4"/>
    </row>
    <row r="15" spans="1:9" x14ac:dyDescent="0.25">
      <c r="A15" s="17"/>
      <c r="B15" s="4" t="s">
        <v>537</v>
      </c>
      <c r="C15" s="6" t="s">
        <v>536</v>
      </c>
      <c r="D15" s="7">
        <v>61</v>
      </c>
      <c r="E15" s="4"/>
      <c r="F15" s="4"/>
      <c r="G15" s="7">
        <v>61</v>
      </c>
      <c r="H15" s="4"/>
      <c r="I15" s="4"/>
    </row>
    <row r="16" spans="1:9" x14ac:dyDescent="0.25">
      <c r="A16" s="17"/>
      <c r="B16" s="4" t="s">
        <v>538</v>
      </c>
      <c r="C16" s="6" t="s">
        <v>539</v>
      </c>
      <c r="D16" s="7">
        <v>236</v>
      </c>
      <c r="E16" s="4"/>
      <c r="F16" s="4"/>
      <c r="G16" s="7">
        <v>236</v>
      </c>
      <c r="H16" s="4"/>
      <c r="I16" s="4"/>
    </row>
    <row r="17" spans="1:9" x14ac:dyDescent="0.25">
      <c r="A17" s="17"/>
      <c r="B17" s="4" t="s">
        <v>540</v>
      </c>
      <c r="C17" s="6" t="s">
        <v>539</v>
      </c>
      <c r="D17" s="7">
        <v>261.96</v>
      </c>
      <c r="E17" s="4"/>
      <c r="F17" s="4"/>
      <c r="G17" s="7">
        <v>261.96</v>
      </c>
      <c r="H17" s="4"/>
      <c r="I17" s="4"/>
    </row>
    <row r="18" spans="1:9" x14ac:dyDescent="0.25">
      <c r="A18" s="17"/>
      <c r="B18" s="4" t="s">
        <v>541</v>
      </c>
      <c r="C18" s="6" t="s">
        <v>542</v>
      </c>
      <c r="D18" s="7">
        <v>0</v>
      </c>
      <c r="E18" s="4"/>
      <c r="F18" s="4"/>
      <c r="G18" s="7">
        <v>0</v>
      </c>
      <c r="H18" s="4"/>
      <c r="I18" s="4"/>
    </row>
    <row r="19" spans="1:9" x14ac:dyDescent="0.25">
      <c r="A19" s="17"/>
      <c r="B19" s="4" t="s">
        <v>543</v>
      </c>
      <c r="C19" s="6" t="s">
        <v>542</v>
      </c>
      <c r="D19" s="7">
        <v>25.96</v>
      </c>
      <c r="E19" s="4"/>
      <c r="F19" s="4"/>
      <c r="G19" s="7">
        <v>25.96</v>
      </c>
      <c r="H19" s="4"/>
      <c r="I19" s="4"/>
    </row>
    <row r="20" spans="1:9" x14ac:dyDescent="0.25">
      <c r="A20" s="17"/>
      <c r="B20" s="4" t="s">
        <v>544</v>
      </c>
      <c r="C20" s="6" t="s">
        <v>545</v>
      </c>
      <c r="D20" s="7">
        <v>280</v>
      </c>
      <c r="E20" s="4"/>
      <c r="F20" s="4"/>
      <c r="G20" s="7">
        <v>305</v>
      </c>
      <c r="H20" s="4"/>
      <c r="I20" s="4"/>
    </row>
    <row r="21" spans="1:9" x14ac:dyDescent="0.25">
      <c r="A21" s="17"/>
      <c r="B21" s="4" t="s">
        <v>546</v>
      </c>
      <c r="C21" s="6" t="s">
        <v>545</v>
      </c>
      <c r="D21" s="7">
        <v>0</v>
      </c>
      <c r="E21" s="4"/>
      <c r="F21" s="4"/>
      <c r="G21" s="7">
        <v>0</v>
      </c>
      <c r="H21" s="4"/>
      <c r="I21" s="4"/>
    </row>
    <row r="22" spans="1:9" x14ac:dyDescent="0.25">
      <c r="A22" s="17"/>
      <c r="B22" s="4" t="s">
        <v>547</v>
      </c>
      <c r="C22" s="6" t="s">
        <v>545</v>
      </c>
      <c r="D22" s="7">
        <v>0</v>
      </c>
      <c r="E22" s="4"/>
      <c r="F22" s="4"/>
      <c r="G22" s="7">
        <v>0</v>
      </c>
      <c r="H22" s="4"/>
      <c r="I22" s="4"/>
    </row>
    <row r="23" spans="1:9" x14ac:dyDescent="0.25">
      <c r="A23" s="17"/>
      <c r="B23" s="4" t="s">
        <v>548</v>
      </c>
      <c r="C23" s="6" t="s">
        <v>549</v>
      </c>
      <c r="D23" s="7">
        <v>0</v>
      </c>
      <c r="E23" s="4"/>
      <c r="F23" s="4"/>
      <c r="G23" s="7">
        <v>0</v>
      </c>
      <c r="H23" s="4"/>
      <c r="I23" s="4"/>
    </row>
    <row r="24" spans="1:9" x14ac:dyDescent="0.25">
      <c r="A24" s="17"/>
      <c r="B24" s="4" t="s">
        <v>550</v>
      </c>
      <c r="C24" s="6" t="s">
        <v>549</v>
      </c>
      <c r="D24" s="7">
        <v>0</v>
      </c>
      <c r="E24" s="4"/>
      <c r="F24" s="4"/>
      <c r="G24" s="7">
        <v>0</v>
      </c>
      <c r="H24" s="4"/>
      <c r="I24" s="4"/>
    </row>
    <row r="25" spans="1:9" x14ac:dyDescent="0.25">
      <c r="A25" s="17"/>
      <c r="B25" s="4" t="s">
        <v>551</v>
      </c>
      <c r="C25" s="6" t="s">
        <v>549</v>
      </c>
      <c r="D25" s="7">
        <v>0</v>
      </c>
      <c r="E25" s="4"/>
      <c r="F25" s="4"/>
      <c r="G25" s="7">
        <v>0</v>
      </c>
      <c r="H25" s="4"/>
      <c r="I25" s="4"/>
    </row>
    <row r="26" spans="1:9" x14ac:dyDescent="0.25">
      <c r="A26" s="17"/>
      <c r="B26" s="4" t="s">
        <v>552</v>
      </c>
      <c r="C26" s="6" t="s">
        <v>549</v>
      </c>
      <c r="D26" s="7">
        <v>0</v>
      </c>
      <c r="E26" s="4"/>
      <c r="F26" s="4"/>
      <c r="G26" s="7">
        <v>0</v>
      </c>
      <c r="H26" s="4"/>
      <c r="I26" s="4"/>
    </row>
    <row r="27" spans="1:9" x14ac:dyDescent="0.25">
      <c r="A27" s="17"/>
      <c r="B27" s="4" t="s">
        <v>553</v>
      </c>
      <c r="C27" s="6" t="s">
        <v>549</v>
      </c>
      <c r="D27" s="7">
        <v>0</v>
      </c>
      <c r="E27" s="4"/>
      <c r="F27" s="4"/>
      <c r="G27" s="7">
        <v>0</v>
      </c>
      <c r="H27" s="4"/>
      <c r="I27" s="4"/>
    </row>
    <row r="28" spans="1:9" x14ac:dyDescent="0.25">
      <c r="A28" s="17"/>
      <c r="B28" s="4" t="s">
        <v>554</v>
      </c>
      <c r="C28" s="6" t="s">
        <v>549</v>
      </c>
      <c r="D28" s="7">
        <v>0</v>
      </c>
      <c r="E28" s="4"/>
      <c r="F28" s="4"/>
      <c r="G28" s="7">
        <v>0</v>
      </c>
      <c r="H28" s="4"/>
      <c r="I28" s="4"/>
    </row>
    <row r="29" spans="1:9" x14ac:dyDescent="0.25">
      <c r="A29" s="17"/>
      <c r="B29" s="4" t="s">
        <v>555</v>
      </c>
      <c r="C29" s="6" t="s">
        <v>549</v>
      </c>
      <c r="D29" s="7">
        <v>0</v>
      </c>
      <c r="E29" s="4"/>
      <c r="F29" s="4"/>
      <c r="G29" s="7">
        <v>0</v>
      </c>
      <c r="H29" s="4"/>
      <c r="I29" s="4"/>
    </row>
    <row r="30" spans="1:9" x14ac:dyDescent="0.25">
      <c r="A30" s="17"/>
      <c r="B30" s="4" t="s">
        <v>556</v>
      </c>
      <c r="C30" s="6" t="s">
        <v>549</v>
      </c>
      <c r="D30" s="7">
        <v>0</v>
      </c>
      <c r="E30" s="4"/>
      <c r="F30" s="4"/>
      <c r="G30" s="7">
        <v>0</v>
      </c>
      <c r="H30" s="4"/>
      <c r="I30" s="4"/>
    </row>
    <row r="31" spans="1:9" x14ac:dyDescent="0.25">
      <c r="A31" s="4"/>
      <c r="B31" s="22" t="s">
        <v>557</v>
      </c>
      <c r="C31" s="22"/>
      <c r="D31" s="22"/>
      <c r="E31" s="22"/>
      <c r="F31" s="22"/>
      <c r="G31" s="22"/>
      <c r="H31" s="22"/>
      <c r="I31" s="22"/>
    </row>
    <row r="32" spans="1:9" x14ac:dyDescent="0.25">
      <c r="A32" s="17"/>
      <c r="B32" s="4" t="s">
        <v>558</v>
      </c>
      <c r="C32" s="6" t="s">
        <v>559</v>
      </c>
      <c r="D32" s="7">
        <v>0</v>
      </c>
      <c r="E32" s="4"/>
      <c r="F32" s="4"/>
      <c r="G32" s="7">
        <v>0</v>
      </c>
      <c r="H32" s="4"/>
      <c r="I32" s="4"/>
    </row>
    <row r="33" spans="1:9" x14ac:dyDescent="0.25">
      <c r="A33" s="17"/>
      <c r="B33" s="4" t="s">
        <v>560</v>
      </c>
      <c r="C33" s="6"/>
      <c r="D33" s="23">
        <v>0</v>
      </c>
      <c r="E33" s="4"/>
      <c r="F33" s="4"/>
      <c r="G33" s="23">
        <v>0</v>
      </c>
      <c r="H33" s="4"/>
      <c r="I33" s="4"/>
    </row>
    <row r="34" spans="1:9" x14ac:dyDescent="0.25">
      <c r="A34" s="17"/>
      <c r="B34" s="4" t="s">
        <v>561</v>
      </c>
      <c r="C34" s="6"/>
      <c r="D34" s="7">
        <v>0</v>
      </c>
      <c r="E34" s="4"/>
      <c r="F34" s="4"/>
      <c r="G34" s="7">
        <v>0</v>
      </c>
      <c r="H34" s="4"/>
      <c r="I34" s="4"/>
    </row>
    <row r="35" spans="1:9" x14ac:dyDescent="0.25">
      <c r="A35" s="17"/>
      <c r="B35" s="4" t="s">
        <v>562</v>
      </c>
      <c r="C35" s="6"/>
      <c r="D35" s="23">
        <v>0</v>
      </c>
      <c r="E35" s="4"/>
      <c r="F35" s="4"/>
      <c r="G35" s="23">
        <v>0</v>
      </c>
      <c r="H35" s="4"/>
      <c r="I35" s="4"/>
    </row>
    <row r="36" spans="1:9" x14ac:dyDescent="0.25">
      <c r="A36" s="17"/>
      <c r="B36" s="4" t="s">
        <v>563</v>
      </c>
      <c r="C36" s="6"/>
      <c r="D36" s="7">
        <v>0</v>
      </c>
      <c r="E36" s="4"/>
      <c r="F36" s="4"/>
      <c r="G36" s="7">
        <v>0</v>
      </c>
      <c r="H36" s="4"/>
      <c r="I36" s="4"/>
    </row>
    <row r="37" spans="1:9" x14ac:dyDescent="0.25">
      <c r="A37" s="17"/>
      <c r="B37" s="4" t="s">
        <v>564</v>
      </c>
      <c r="C37" s="6"/>
      <c r="D37" s="23">
        <v>0</v>
      </c>
      <c r="E37" s="4"/>
      <c r="F37" s="4"/>
      <c r="G37" s="23">
        <v>0</v>
      </c>
      <c r="H37" s="4"/>
      <c r="I37" s="4"/>
    </row>
    <row r="38" spans="1:9" x14ac:dyDescent="0.25">
      <c r="A38" s="17"/>
      <c r="B38" s="4" t="s">
        <v>565</v>
      </c>
      <c r="C38" s="6"/>
      <c r="D38" s="7">
        <v>0</v>
      </c>
      <c r="E38" s="4"/>
      <c r="F38" s="4"/>
      <c r="G38" s="7">
        <v>0</v>
      </c>
      <c r="H38" s="4"/>
      <c r="I38" s="4"/>
    </row>
    <row r="39" spans="1:9" x14ac:dyDescent="0.25">
      <c r="A39" s="17"/>
      <c r="B39" s="4" t="s">
        <v>566</v>
      </c>
      <c r="C39" s="6"/>
      <c r="D39" s="23">
        <v>0</v>
      </c>
      <c r="E39" s="4"/>
      <c r="F39" s="4"/>
      <c r="G39" s="23">
        <v>0</v>
      </c>
      <c r="H39" s="4"/>
      <c r="I39" s="4"/>
    </row>
    <row r="40" spans="1:9" x14ac:dyDescent="0.25">
      <c r="A40" s="17"/>
      <c r="B40" s="4" t="s">
        <v>567</v>
      </c>
      <c r="C40" s="6" t="s">
        <v>568</v>
      </c>
      <c r="D40" s="21">
        <v>0</v>
      </c>
      <c r="E40" s="4"/>
      <c r="F40" s="4"/>
      <c r="G40" s="21">
        <v>0</v>
      </c>
      <c r="H40" s="4"/>
      <c r="I40" s="4"/>
    </row>
    <row r="42" spans="1:13" x14ac:dyDescent="0.25">
      <c r="A42" s="3" t="s">
        <v>569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9" x14ac:dyDescent="0.25">
      <c r="A43" s="16" t="s">
        <v>517</v>
      </c>
      <c r="B43" s="16" t="s">
        <v>518</v>
      </c>
      <c r="C43" s="16" t="s">
        <v>519</v>
      </c>
      <c r="D43" s="16" t="s">
        <v>473</v>
      </c>
      <c r="E43" s="16"/>
      <c r="F43" s="16"/>
      <c r="G43" s="16" t="s">
        <v>482</v>
      </c>
      <c r="H43" s="16"/>
      <c r="I43" s="16"/>
    </row>
    <row r="44" spans="1:9" x14ac:dyDescent="0.25">
      <c r="A44" s="17"/>
      <c r="B44" s="4" t="s">
        <v>61</v>
      </c>
      <c r="C44" s="6" t="s">
        <v>570</v>
      </c>
      <c r="D44" s="18">
        <f>MAX(0,D12-D11)</f>
        <v>2</v>
      </c>
      <c r="E44" s="4"/>
      <c r="F44" s="4"/>
      <c r="G44" s="18">
        <f>MAX(0,G12-G11)</f>
        <v>2</v>
      </c>
      <c r="H44" s="4"/>
      <c r="I44" s="4"/>
    </row>
    <row r="45" spans="1:9" x14ac:dyDescent="0.25">
      <c r="A45" s="17"/>
      <c r="B45" s="4" t="s">
        <v>571</v>
      </c>
      <c r="C45" s="6" t="s">
        <v>572</v>
      </c>
      <c r="D45" s="18">
        <f>MAX(D44-1,0)</f>
        <v>1</v>
      </c>
      <c r="E45" s="4"/>
      <c r="F45" s="4"/>
      <c r="G45" s="18">
        <f>MAX(G44-1,0)</f>
        <v>1</v>
      </c>
      <c r="H45" s="4"/>
      <c r="I45" s="4"/>
    </row>
    <row r="46" spans="1:9" x14ac:dyDescent="0.25">
      <c r="A46" s="17"/>
      <c r="B46" s="4" t="s">
        <v>573</v>
      </c>
      <c r="C46" s="6" t="s">
        <v>574</v>
      </c>
      <c r="D46" s="24">
        <f>1.5*D15+D45*D15</f>
        <v>152.5</v>
      </c>
      <c r="E46" s="4"/>
      <c r="F46" s="4"/>
      <c r="G46" s="24">
        <f>1.5*G15+G45*G15</f>
        <v>152.5</v>
      </c>
      <c r="H46" s="4"/>
      <c r="I46" s="4"/>
    </row>
    <row r="47" spans="1:9" x14ac:dyDescent="0.25">
      <c r="A47" s="17"/>
      <c r="B47" s="4" t="s">
        <v>575</v>
      </c>
      <c r="C47" s="6" t="s">
        <v>576</v>
      </c>
      <c r="D47" s="24">
        <f>D17+D20+D22+D21</f>
        <v>541.96</v>
      </c>
      <c r="E47" s="4"/>
      <c r="F47" s="4"/>
      <c r="G47" s="24">
        <f>G17+G20+G22+G21</f>
        <v>566.96</v>
      </c>
      <c r="H47" s="4"/>
      <c r="I47" s="4"/>
    </row>
    <row r="48" spans="1:9" x14ac:dyDescent="0.25">
      <c r="A48" s="17"/>
      <c r="B48" s="10" t="s">
        <v>66</v>
      </c>
      <c r="C48" s="6" t="s">
        <v>577</v>
      </c>
      <c r="D48" s="25">
        <f>D46+D47</f>
        <v>694.46</v>
      </c>
      <c r="E48" s="4"/>
      <c r="F48" s="4"/>
      <c r="G48" s="25">
        <f>G46+G47</f>
        <v>719.46</v>
      </c>
      <c r="H48" s="4"/>
      <c r="I48" s="4"/>
    </row>
    <row r="49" spans="1:9" x14ac:dyDescent="0.25">
      <c r="A49" s="17"/>
      <c r="B49" s="4" t="s">
        <v>578</v>
      </c>
      <c r="C49" s="6" t="s">
        <v>579</v>
      </c>
      <c r="D49" s="24">
        <f>D25+D26+D27+D28+D29+D30+D23+D24</f>
        <v>0</v>
      </c>
      <c r="E49" s="4"/>
      <c r="F49" s="4"/>
      <c r="G49" s="24">
        <f>G25+G26+G27+G28+G29+G30+G23+G24</f>
        <v>0</v>
      </c>
      <c r="H49" s="4"/>
      <c r="I49" s="4"/>
    </row>
    <row r="50" spans="1:9" x14ac:dyDescent="0.25">
      <c r="A50" s="17"/>
      <c r="B50" s="10" t="s">
        <v>68</v>
      </c>
      <c r="C50" s="6" t="s">
        <v>69</v>
      </c>
      <c r="D50" s="25">
        <f>D48*D13+D49</f>
        <v>694.46</v>
      </c>
      <c r="E50" s="4"/>
      <c r="F50" s="4"/>
      <c r="G50" s="25">
        <f>G48*G13+G49</f>
        <v>719.46</v>
      </c>
      <c r="H50" s="4"/>
      <c r="I50" s="4"/>
    </row>
    <row r="51" spans="1:9" x14ac:dyDescent="0.25">
      <c r="A51" s="17"/>
      <c r="B51" s="4" t="s">
        <v>580</v>
      </c>
      <c r="C51" s="6" t="s">
        <v>581</v>
      </c>
      <c r="D51" s="24">
        <f>IF(1&lt;=D13,D32*D33,0)</f>
        <v>0</v>
      </c>
      <c r="E51" s="4"/>
      <c r="F51" s="4"/>
      <c r="G51" s="24">
        <f>IF(1&lt;=G13,G32*G33,0)</f>
        <v>0</v>
      </c>
      <c r="H51" s="4"/>
      <c r="I51" s="4"/>
    </row>
    <row r="52" spans="1:9" x14ac:dyDescent="0.25">
      <c r="A52" s="17"/>
      <c r="B52" s="4" t="s">
        <v>582</v>
      </c>
      <c r="C52" s="6" t="s">
        <v>581</v>
      </c>
      <c r="D52" s="24">
        <f>IF(2&lt;=D13,D34*D35,0)</f>
        <v>0</v>
      </c>
      <c r="E52" s="4"/>
      <c r="F52" s="4"/>
      <c r="G52" s="24">
        <f>IF(2&lt;=G13,G34*G35,0)</f>
        <v>0</v>
      </c>
      <c r="H52" s="4"/>
      <c r="I52" s="4"/>
    </row>
    <row r="53" spans="1:9" x14ac:dyDescent="0.25">
      <c r="A53" s="17"/>
      <c r="B53" s="4" t="s">
        <v>583</v>
      </c>
      <c r="C53" s="6" t="s">
        <v>581</v>
      </c>
      <c r="D53" s="24">
        <f>IF(3&lt;=D13,D36*D37,0)</f>
        <v>0</v>
      </c>
      <c r="E53" s="4"/>
      <c r="F53" s="4"/>
      <c r="G53" s="24">
        <f>IF(3&lt;=G13,G36*G37,0)</f>
        <v>0</v>
      </c>
      <c r="H53" s="4"/>
      <c r="I53" s="4"/>
    </row>
    <row r="54" spans="1:9" x14ac:dyDescent="0.25">
      <c r="A54" s="17"/>
      <c r="B54" s="4" t="s">
        <v>584</v>
      </c>
      <c r="C54" s="6" t="s">
        <v>581</v>
      </c>
      <c r="D54" s="24">
        <f>IF(4&lt;=D13,D38*D39,0)</f>
        <v>0</v>
      </c>
      <c r="E54" s="4"/>
      <c r="F54" s="4"/>
      <c r="G54" s="24">
        <f>IF(4&lt;=G13,G38*G39,0)</f>
        <v>0</v>
      </c>
      <c r="H54" s="4"/>
      <c r="I54" s="4"/>
    </row>
    <row r="55" spans="1:9" x14ac:dyDescent="0.25">
      <c r="A55" s="17"/>
      <c r="B55" s="10" t="s">
        <v>71</v>
      </c>
      <c r="C55" s="6" t="s">
        <v>585</v>
      </c>
      <c r="D55" s="25">
        <f>SUM(D51:D54)</f>
        <v>0</v>
      </c>
      <c r="E55" s="4"/>
      <c r="F55" s="4"/>
      <c r="G55" s="25">
        <f>SUM(G51:G54)</f>
        <v>0</v>
      </c>
      <c r="H55" s="4"/>
      <c r="I55" s="4"/>
    </row>
    <row r="56" spans="1:9" x14ac:dyDescent="0.25">
      <c r="A56" s="17"/>
      <c r="B56" s="10" t="s">
        <v>586</v>
      </c>
      <c r="C56" s="6" t="s">
        <v>587</v>
      </c>
      <c r="D56" s="25">
        <f>D50+D55</f>
        <v>694.46</v>
      </c>
      <c r="E56" s="4"/>
      <c r="F56" s="4"/>
      <c r="G56" s="25">
        <f>G50+G55</f>
        <v>719.46</v>
      </c>
      <c r="H56" s="4"/>
      <c r="I56" s="4"/>
    </row>
    <row r="57" spans="1:9" x14ac:dyDescent="0.25">
      <c r="A57" s="4"/>
      <c r="B57" s="22" t="s">
        <v>588</v>
      </c>
      <c r="C57" s="22" t="s">
        <v>589</v>
      </c>
      <c r="D57" s="22"/>
      <c r="E57" s="22"/>
      <c r="F57" s="22"/>
      <c r="G57" s="22"/>
      <c r="H57" s="22"/>
      <c r="I57" s="22"/>
    </row>
    <row r="58" spans="1:9" x14ac:dyDescent="0.25">
      <c r="A58" s="17"/>
      <c r="B58" s="4" t="s">
        <v>590</v>
      </c>
      <c r="C58" s="6" t="s">
        <v>591</v>
      </c>
      <c r="D58" s="24">
        <f>ROUND(D17*Setup!$C$5,2)</f>
        <v>295.33</v>
      </c>
      <c r="E58" s="4"/>
      <c r="F58" s="4"/>
      <c r="G58" s="24">
        <f>ROUND(G17*Setup!$C$5,2)</f>
        <v>295.33</v>
      </c>
      <c r="H58" s="4"/>
      <c r="I58" s="4"/>
    </row>
    <row r="59" spans="1:9" x14ac:dyDescent="0.25">
      <c r="A59" s="17"/>
      <c r="B59" s="4" t="s">
        <v>544</v>
      </c>
      <c r="C59" s="6" t="s">
        <v>592</v>
      </c>
      <c r="D59" s="24">
        <f>ROUND(D20*Setup!$C$5,2)</f>
        <v>315.67</v>
      </c>
      <c r="E59" s="4"/>
      <c r="F59" s="4"/>
      <c r="G59" s="24">
        <f>ROUND(G20*Setup!$C$5,2)</f>
        <v>343.86</v>
      </c>
      <c r="H59" s="4"/>
      <c r="I59" s="4"/>
    </row>
    <row r="60" spans="1:9" x14ac:dyDescent="0.25">
      <c r="A60" s="17"/>
      <c r="B60" s="4" t="s">
        <v>546</v>
      </c>
      <c r="C60" s="6" t="s">
        <v>593</v>
      </c>
      <c r="D60" s="24">
        <f>ROUND(D21*Setup!$C$5,2)</f>
        <v>0</v>
      </c>
      <c r="E60" s="4"/>
      <c r="F60" s="4"/>
      <c r="G60" s="24">
        <f>ROUND(G21*Setup!$C$5,2)</f>
        <v>0</v>
      </c>
      <c r="H60" s="4"/>
      <c r="I60" s="4"/>
    </row>
    <row r="61" spans="1:9" x14ac:dyDescent="0.25">
      <c r="A61" s="17"/>
      <c r="B61" s="4" t="s">
        <v>547</v>
      </c>
      <c r="C61" s="6" t="s">
        <v>594</v>
      </c>
      <c r="D61" s="24">
        <f>ROUND(D22*Setup!$C$5,2)</f>
        <v>0</v>
      </c>
      <c r="E61" s="4"/>
      <c r="F61" s="4"/>
      <c r="G61" s="24">
        <f>ROUND(G22*Setup!$C$5,2)</f>
        <v>0</v>
      </c>
      <c r="H61" s="4"/>
      <c r="I61" s="4"/>
    </row>
    <row r="62" spans="1:9" x14ac:dyDescent="0.25">
      <c r="A62" s="17"/>
      <c r="B62" s="4" t="s">
        <v>551</v>
      </c>
      <c r="C62" s="6" t="s">
        <v>595</v>
      </c>
      <c r="D62" s="24">
        <f>ROUND(D25*Setup!$C$5,2)</f>
        <v>0</v>
      </c>
      <c r="E62" s="4"/>
      <c r="F62" s="4"/>
      <c r="G62" s="24">
        <f>ROUND(G25*Setup!$C$5,2)</f>
        <v>0</v>
      </c>
      <c r="H62" s="4"/>
      <c r="I62" s="4"/>
    </row>
    <row r="63" spans="1:9" x14ac:dyDescent="0.25">
      <c r="A63" s="17"/>
      <c r="B63" s="4" t="s">
        <v>552</v>
      </c>
      <c r="C63" s="6" t="s">
        <v>596</v>
      </c>
      <c r="D63" s="24">
        <f>ROUND(D26*Setup!$C$5,2)</f>
        <v>0</v>
      </c>
      <c r="E63" s="4"/>
      <c r="F63" s="4"/>
      <c r="G63" s="24">
        <f>ROUND(G26*Setup!$C$5,2)</f>
        <v>0</v>
      </c>
      <c r="H63" s="4"/>
      <c r="I63" s="4"/>
    </row>
    <row r="64" spans="1:9" x14ac:dyDescent="0.25">
      <c r="A64" s="17"/>
      <c r="B64" s="4" t="s">
        <v>553</v>
      </c>
      <c r="C64" s="6" t="s">
        <v>597</v>
      </c>
      <c r="D64" s="24">
        <f>ROUND(D27*Setup!$C$5,2)</f>
        <v>0</v>
      </c>
      <c r="E64" s="4"/>
      <c r="F64" s="4"/>
      <c r="G64" s="24">
        <f>ROUND(G27*Setup!$C$5,2)</f>
        <v>0</v>
      </c>
      <c r="H64" s="4"/>
      <c r="I64" s="4"/>
    </row>
    <row r="65" spans="1:9" x14ac:dyDescent="0.25">
      <c r="A65" s="17"/>
      <c r="B65" s="4" t="s">
        <v>554</v>
      </c>
      <c r="C65" s="6" t="s">
        <v>598</v>
      </c>
      <c r="D65" s="24">
        <f>ROUND(D28*Setup!$C$5,2)</f>
        <v>0</v>
      </c>
      <c r="E65" s="4"/>
      <c r="F65" s="4"/>
      <c r="G65" s="24">
        <f>ROUND(G28*Setup!$C$5,2)</f>
        <v>0</v>
      </c>
      <c r="H65" s="4"/>
      <c r="I65" s="4"/>
    </row>
    <row r="66" spans="1:9" x14ac:dyDescent="0.25">
      <c r="A66" s="17"/>
      <c r="B66" s="4" t="s">
        <v>555</v>
      </c>
      <c r="C66" s="6" t="s">
        <v>599</v>
      </c>
      <c r="D66" s="24">
        <f>ROUND(D29*Setup!$C$5,2)</f>
        <v>0</v>
      </c>
      <c r="E66" s="4"/>
      <c r="F66" s="4"/>
      <c r="G66" s="24">
        <f>ROUND(G29*Setup!$C$5,2)</f>
        <v>0</v>
      </c>
      <c r="H66" s="4"/>
      <c r="I66" s="4"/>
    </row>
    <row r="67" spans="1:9" x14ac:dyDescent="0.25">
      <c r="A67" s="17"/>
      <c r="B67" s="4" t="s">
        <v>556</v>
      </c>
      <c r="C67" s="6" t="s">
        <v>600</v>
      </c>
      <c r="D67" s="24">
        <f>ROUND(D30*Setup!$C$5,2)</f>
        <v>0</v>
      </c>
      <c r="E67" s="4"/>
      <c r="F67" s="4"/>
      <c r="G67" s="24">
        <f>ROUND(G30*Setup!$C$5,2)</f>
        <v>0</v>
      </c>
      <c r="H67" s="4"/>
      <c r="I67" s="4"/>
    </row>
    <row r="68" spans="1:9" x14ac:dyDescent="0.25">
      <c r="A68" s="17"/>
      <c r="B68" s="4" t="s">
        <v>548</v>
      </c>
      <c r="C68" s="6" t="s">
        <v>601</v>
      </c>
      <c r="D68" s="24">
        <f>ROUND(D23*Setup!$C$5,2)</f>
        <v>0</v>
      </c>
      <c r="E68" s="4"/>
      <c r="F68" s="4"/>
      <c r="G68" s="24">
        <f>ROUND(G23*Setup!$C$5,2)</f>
        <v>0</v>
      </c>
      <c r="H68" s="4"/>
      <c r="I68" s="4"/>
    </row>
    <row r="69" spans="1:9" x14ac:dyDescent="0.25">
      <c r="A69" s="17"/>
      <c r="B69" s="4" t="s">
        <v>550</v>
      </c>
      <c r="C69" s="6" t="s">
        <v>602</v>
      </c>
      <c r="D69" s="24">
        <f>ROUND(D24*Setup!$C$5,2)</f>
        <v>0</v>
      </c>
      <c r="E69" s="4"/>
      <c r="F69" s="4"/>
      <c r="G69" s="24">
        <f>ROUND(G24*Setup!$C$5,2)</f>
        <v>0</v>
      </c>
      <c r="H69" s="4"/>
      <c r="I69" s="4"/>
    </row>
    <row r="70" spans="1:9" x14ac:dyDescent="0.25">
      <c r="A70" s="17"/>
      <c r="B70" s="4" t="s">
        <v>603</v>
      </c>
      <c r="C70" s="6" t="s">
        <v>604</v>
      </c>
      <c r="D70" s="24">
        <f>(D58+D59+D61+D60)*D13+D62+D63+D64+D65+D66+D67+D68+D69</f>
        <v>611</v>
      </c>
      <c r="E70" s="4"/>
      <c r="F70" s="4"/>
      <c r="G70" s="24">
        <f>(G58+G59+G61+G60)*G13+G62+G63+G64+G65+G66+G67+G68+G69</f>
        <v>639.19</v>
      </c>
      <c r="H70" s="4"/>
      <c r="I70" s="4"/>
    </row>
    <row r="71" spans="1:9" x14ac:dyDescent="0.25">
      <c r="A71" s="17"/>
      <c r="B71" s="4" t="s">
        <v>605</v>
      </c>
      <c r="C71" s="6" t="s">
        <v>606</v>
      </c>
      <c r="D71" s="24">
        <f>D46*D13</f>
        <v>152.5</v>
      </c>
      <c r="E71" s="4"/>
      <c r="F71" s="4"/>
      <c r="G71" s="24">
        <f>G46*G13</f>
        <v>152.5</v>
      </c>
      <c r="H71" s="4"/>
      <c r="I71" s="4"/>
    </row>
    <row r="72" spans="1:9" x14ac:dyDescent="0.25">
      <c r="A72" s="17"/>
      <c r="B72" s="10" t="s">
        <v>74</v>
      </c>
      <c r="C72" s="6" t="s">
        <v>607</v>
      </c>
      <c r="D72" s="25">
        <f>D70+D71</f>
        <v>763.5</v>
      </c>
      <c r="E72" s="4"/>
      <c r="F72" s="4"/>
      <c r="G72" s="25">
        <f>G70+G71</f>
        <v>791.69</v>
      </c>
      <c r="H72" s="4"/>
      <c r="I72" s="4"/>
    </row>
    <row r="73" spans="1:9" x14ac:dyDescent="0.25">
      <c r="A73" s="17"/>
      <c r="B73" s="10" t="s">
        <v>76</v>
      </c>
      <c r="C73" s="6" t="s">
        <v>77</v>
      </c>
      <c r="D73" s="25">
        <f>D72+D55</f>
        <v>763.5</v>
      </c>
      <c r="E73" s="4"/>
      <c r="F73" s="4"/>
      <c r="G73" s="25">
        <f>G72+G55</f>
        <v>791.69</v>
      </c>
      <c r="H73" s="4"/>
      <c r="I73" s="4"/>
    </row>
    <row r="74" spans="1:9" x14ac:dyDescent="0.25">
      <c r="A74" s="17"/>
      <c r="B74" s="4" t="s">
        <v>608</v>
      </c>
      <c r="C74" s="6" t="s">
        <v>609</v>
      </c>
      <c r="D74" s="24">
        <f>D73-D56</f>
        <v>69.04</v>
      </c>
      <c r="E74" s="4"/>
      <c r="F74" s="4"/>
      <c r="G74" s="24">
        <f>G73-G56</f>
        <v>72.23</v>
      </c>
      <c r="H74" s="4"/>
      <c r="I74" s="4"/>
    </row>
    <row r="75" spans="1:9" x14ac:dyDescent="0.25">
      <c r="A75" s="17"/>
      <c r="B75" s="4" t="s">
        <v>610</v>
      </c>
      <c r="C75" s="6" t="s">
        <v>611</v>
      </c>
      <c r="D75" s="24">
        <f>D50+D40*D55</f>
        <v>694.46</v>
      </c>
      <c r="E75" s="4"/>
      <c r="F75" s="4"/>
      <c r="G75" s="24">
        <f>G50+G40*G55</f>
        <v>719.46</v>
      </c>
      <c r="H75" s="4"/>
      <c r="I75" s="4"/>
    </row>
    <row r="76" spans="1:9" x14ac:dyDescent="0.25">
      <c r="A76" s="17"/>
      <c r="B76" s="4" t="s">
        <v>612</v>
      </c>
      <c r="C76" s="6" t="s">
        <v>613</v>
      </c>
      <c r="D76" s="24">
        <f>IF(D44&gt;0,D16/D44,0)</f>
        <v>118</v>
      </c>
      <c r="E76" s="4"/>
      <c r="F76" s="4"/>
      <c r="G76" s="24">
        <f>IF(G44&gt;0,G16/G44,0)</f>
        <v>118</v>
      </c>
      <c r="H76" s="4"/>
      <c r="I76" s="4"/>
    </row>
    <row r="77" spans="1:9" x14ac:dyDescent="0.25">
      <c r="A77" s="17"/>
      <c r="B77" s="4" t="s">
        <v>614</v>
      </c>
      <c r="C77" s="6" t="s">
        <v>615</v>
      </c>
      <c r="D77" s="12" t="str">
        <f>IF(AND(D44&gt;0,D76&gt;D14),"YES","No")</f>
        <v>No</v>
      </c>
      <c r="E77" s="4"/>
      <c r="F77" s="4"/>
      <c r="G77" s="12" t="str">
        <f>IF(AND(G44&gt;0,G76&gt;G14),"YES","No")</f>
        <v>No</v>
      </c>
      <c r="H77" s="4"/>
      <c r="I77" s="4"/>
    </row>
    <row r="78" spans="1:9" x14ac:dyDescent="0.25">
      <c r="A78" s="17"/>
      <c r="B78" s="4" t="s">
        <v>616</v>
      </c>
      <c r="C78" s="6" t="s">
        <v>617</v>
      </c>
      <c r="D78" s="24">
        <f>IF(D44&gt;0,D17/D44,0)</f>
        <v>130.98</v>
      </c>
      <c r="E78" s="4"/>
      <c r="F78" s="4"/>
      <c r="G78" s="24">
        <f>IF(G44&gt;0,G17/G44,0)</f>
        <v>130.98</v>
      </c>
      <c r="H78" s="4"/>
      <c r="I78" s="4"/>
    </row>
    <row r="79" spans="1:9" x14ac:dyDescent="0.25">
      <c r="A79" s="17"/>
      <c r="B79" s="4" t="s">
        <v>618</v>
      </c>
      <c r="C79" s="6" t="s">
        <v>619</v>
      </c>
      <c r="D79" s="24">
        <f>ROUND(D16+D18+D19-D17,2)</f>
        <v>0</v>
      </c>
      <c r="E79" s="4"/>
      <c r="F79" s="4"/>
      <c r="G79" s="24">
        <f>ROUND(G16+G18+G19-G17,2)</f>
        <v>0</v>
      </c>
      <c r="H79" s="4"/>
      <c r="I79" s="4"/>
    </row>
    <row r="80" spans="1:9" x14ac:dyDescent="0.25">
      <c r="A80" s="17"/>
      <c r="B80" s="4" t="s">
        <v>620</v>
      </c>
      <c r="C80" s="6" t="s">
        <v>621</v>
      </c>
      <c r="D80" s="24">
        <f>D46+D58+D59+D61+D60</f>
        <v>763.5</v>
      </c>
      <c r="E80" s="4"/>
      <c r="F80" s="4"/>
      <c r="G80" s="24">
        <f>G46+G58+G59+G61+G60</f>
        <v>791.69</v>
      </c>
      <c r="H80" s="4"/>
      <c r="I80" s="4"/>
    </row>
    <row r="82" spans="1:13" x14ac:dyDescent="0.25">
      <c r="A82" s="3" t="s">
        <v>622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9" x14ac:dyDescent="0.25">
      <c r="A83" s="16" t="s">
        <v>517</v>
      </c>
      <c r="B83" s="16" t="s">
        <v>518</v>
      </c>
      <c r="C83" s="16" t="s">
        <v>519</v>
      </c>
      <c r="D83" s="16" t="s">
        <v>848</v>
      </c>
      <c r="E83" s="16" t="s">
        <v>624</v>
      </c>
      <c r="F83" s="16" t="s">
        <v>625</v>
      </c>
      <c r="G83" s="16" t="s">
        <v>849</v>
      </c>
      <c r="H83" s="16" t="s">
        <v>624</v>
      </c>
      <c r="I83" s="16" t="s">
        <v>625</v>
      </c>
    </row>
    <row r="84" spans="1:9" x14ac:dyDescent="0.25">
      <c r="A84" s="17" t="s">
        <v>626</v>
      </c>
      <c r="B84" s="4" t="s">
        <v>61</v>
      </c>
      <c r="C84" s="6" t="s">
        <v>627</v>
      </c>
      <c r="D84" s="18">
        <f>D44</f>
        <v>2</v>
      </c>
      <c r="E84" s="26"/>
      <c r="F84" s="27" t="str">
        <f>IF(E84="","",IF(ABS(E84-D84)&lt;=Setup!$C$6,"PASS","FAIL"))</f>
        <v/>
      </c>
      <c r="G84" s="18">
        <f>G44</f>
        <v>2</v>
      </c>
      <c r="H84" s="26"/>
      <c r="I84" s="27" t="str">
        <f>IF(H84="","",IF(ABS(H84-G84)&lt;=Setup!$C$6,"PASS","FAIL"))</f>
        <v/>
      </c>
    </row>
    <row r="85" spans="1:9" x14ac:dyDescent="0.25">
      <c r="A85" s="17" t="s">
        <v>629</v>
      </c>
      <c r="B85" s="4" t="s">
        <v>630</v>
      </c>
      <c r="C85" s="6" t="s">
        <v>627</v>
      </c>
      <c r="D85" s="24">
        <f>D46</f>
        <v>152.5</v>
      </c>
      <c r="E85" s="28"/>
      <c r="F85" s="27" t="str">
        <f>IF(E85="","",IF(ABS(E85-D85)&lt;=Setup!$C$6,"PASS","FAIL"))</f>
        <v/>
      </c>
      <c r="G85" s="24">
        <f>G46</f>
        <v>152.5</v>
      </c>
      <c r="H85" s="28"/>
      <c r="I85" s="27" t="str">
        <f>IF(H85="","",IF(ABS(H85-G85)&lt;=Setup!$C$6,"PASS","FAIL"))</f>
        <v/>
      </c>
    </row>
    <row r="86" spans="1:9" x14ac:dyDescent="0.25">
      <c r="A86" s="17" t="s">
        <v>632</v>
      </c>
      <c r="B86" s="4" t="s">
        <v>68</v>
      </c>
      <c r="C86" s="6" t="s">
        <v>627</v>
      </c>
      <c r="D86" s="24">
        <f>D50</f>
        <v>694.46</v>
      </c>
      <c r="E86" s="28"/>
      <c r="F86" s="27" t="str">
        <f>IF(E86="","",IF(ABS(E86-D86)&lt;=Setup!$C$6,"PASS","FAIL"))</f>
        <v/>
      </c>
      <c r="G86" s="24">
        <f>G50</f>
        <v>719.46</v>
      </c>
      <c r="H86" s="28"/>
      <c r="I86" s="27" t="str">
        <f>IF(H86="","",IF(ABS(H86-G86)&lt;=Setup!$C$6,"PASS","FAIL"))</f>
        <v/>
      </c>
    </row>
    <row r="87" spans="1:9" x14ac:dyDescent="0.25">
      <c r="A87" s="17" t="s">
        <v>633</v>
      </c>
      <c r="B87" s="4" t="s">
        <v>634</v>
      </c>
      <c r="C87" s="6" t="s">
        <v>635</v>
      </c>
      <c r="D87" s="24">
        <f>D75</f>
        <v>694.46</v>
      </c>
      <c r="E87" s="28"/>
      <c r="F87" s="27" t="str">
        <f>IF(E87="","",IF(ABS(E87-D87)&lt;=Setup!$C$6,"PASS","FAIL"))</f>
        <v/>
      </c>
      <c r="G87" s="24">
        <f>G75</f>
        <v>719.46</v>
      </c>
      <c r="H87" s="28"/>
      <c r="I87" s="27" t="str">
        <f>IF(H87="","",IF(ABS(H87-G87)&lt;=Setup!$C$6,"PASS","FAIL"))</f>
        <v/>
      </c>
    </row>
    <row r="88" spans="1:9" x14ac:dyDescent="0.25">
      <c r="A88" s="17" t="s">
        <v>638</v>
      </c>
      <c r="B88" s="4" t="s">
        <v>71</v>
      </c>
      <c r="C88" s="6" t="s">
        <v>639</v>
      </c>
      <c r="D88" s="24">
        <f>D55</f>
        <v>0</v>
      </c>
      <c r="E88" s="28"/>
      <c r="F88" s="27" t="str">
        <f>IF(E88="","",IF(ABS(E88-D88)&lt;=Setup!$C$6,"PASS","FAIL"))</f>
        <v/>
      </c>
      <c r="G88" s="24">
        <f>G55</f>
        <v>0</v>
      </c>
      <c r="H88" s="28"/>
      <c r="I88" s="27" t="str">
        <f>IF(H88="","",IF(ABS(H88-G88)&lt;=Setup!$C$6,"PASS","FAIL"))</f>
        <v/>
      </c>
    </row>
    <row r="89" spans="1:9" x14ac:dyDescent="0.25">
      <c r="A89" s="17" t="s">
        <v>641</v>
      </c>
      <c r="B89" s="4" t="s">
        <v>74</v>
      </c>
      <c r="C89" s="6" t="s">
        <v>88</v>
      </c>
      <c r="D89" s="24">
        <f>D72</f>
        <v>763.5</v>
      </c>
      <c r="E89" s="28"/>
      <c r="F89" s="27" t="str">
        <f>IF(E89="","",IF(ABS(E89-D89)&lt;=Setup!$C$6,"PASS","FAIL"))</f>
        <v/>
      </c>
      <c r="G89" s="24">
        <f>G72</f>
        <v>791.69</v>
      </c>
      <c r="H89" s="28"/>
      <c r="I89" s="27" t="str">
        <f>IF(H89="","",IF(ABS(H89-G89)&lt;=Setup!$C$6,"PASS","FAIL"))</f>
        <v/>
      </c>
    </row>
    <row r="90" spans="1:9" x14ac:dyDescent="0.25">
      <c r="A90" s="17" t="s">
        <v>642</v>
      </c>
      <c r="B90" s="4" t="s">
        <v>76</v>
      </c>
      <c r="C90" s="6" t="s">
        <v>88</v>
      </c>
      <c r="D90" s="24">
        <f>D73</f>
        <v>763.5</v>
      </c>
      <c r="E90" s="28"/>
      <c r="F90" s="27" t="str">
        <f>IF(E90="","",IF(ABS(E90-D90)&lt;=Setup!$C$6,"PASS","FAIL"))</f>
        <v/>
      </c>
      <c r="G90" s="24">
        <f>G73</f>
        <v>791.69</v>
      </c>
      <c r="H90" s="28"/>
      <c r="I90" s="27" t="str">
        <f>IF(H90="","",IF(ABS(H90-G90)&lt;=Setup!$C$6,"PASS","FAIL"))</f>
        <v/>
      </c>
    </row>
    <row r="91" spans="1:9" x14ac:dyDescent="0.25">
      <c r="A91" s="17" t="s">
        <v>657</v>
      </c>
      <c r="B91" s="4" t="s">
        <v>658</v>
      </c>
      <c r="C91" s="6" t="s">
        <v>659</v>
      </c>
      <c r="D91" s="24">
        <f>D73</f>
        <v>763.5</v>
      </c>
      <c r="E91" s="28"/>
      <c r="F91" s="27" t="str">
        <f>IF(E91="","",IF(ABS(E91-D91)&lt;=Setup!$C$6,"PASS","FAIL"))</f>
        <v/>
      </c>
      <c r="G91" s="24">
        <f>G73</f>
        <v>791.69</v>
      </c>
      <c r="H91" s="28"/>
      <c r="I91" s="27" t="str">
        <f>IF(H91="","",IF(ABS(H91-G91)&lt;=Setup!$C$6,"PASS","FAIL"))</f>
        <v/>
      </c>
    </row>
    <row r="92" spans="1:9" x14ac:dyDescent="0.25">
      <c r="A92" s="17" t="s">
        <v>663</v>
      </c>
      <c r="B92" s="4" t="s">
        <v>664</v>
      </c>
      <c r="C92" s="6" t="s">
        <v>93</v>
      </c>
      <c r="D92" s="24">
        <f>D73</f>
        <v>763.5</v>
      </c>
      <c r="E92" s="28"/>
      <c r="F92" s="27" t="str">
        <f>IF(E92="","",IF(ABS(E92-D92)&lt;=Setup!$C$6,"PASS","FAIL"))</f>
        <v/>
      </c>
      <c r="G92" s="24">
        <f>G73</f>
        <v>791.69</v>
      </c>
      <c r="H92" s="28"/>
      <c r="I92" s="27" t="str">
        <f>IF(H92="","",IF(ABS(H92-G92)&lt;=Setup!$C$6,"PASS","FAIL"))</f>
        <v/>
      </c>
    </row>
    <row r="93" spans="1:9" x14ac:dyDescent="0.25">
      <c r="A93" s="17" t="s">
        <v>665</v>
      </c>
      <c r="B93" s="4" t="s">
        <v>666</v>
      </c>
      <c r="C93" s="6" t="s">
        <v>667</v>
      </c>
      <c r="D93" s="24">
        <f>D76</f>
        <v>118</v>
      </c>
      <c r="E93" s="28"/>
      <c r="F93" s="27" t="str">
        <f>IF(E93="","",IF(ABS(E93-D93)&lt;=Setup!$C$6,"PASS","FAIL"))</f>
        <v/>
      </c>
      <c r="G93" s="24">
        <f>G76</f>
        <v>118</v>
      </c>
      <c r="H93" s="28"/>
      <c r="I93" s="27" t="str">
        <f>IF(H93="","",IF(ABS(H93-G93)&lt;=Setup!$C$6,"PASS","FAIL"))</f>
        <v/>
      </c>
    </row>
    <row r="94" spans="1:9" x14ac:dyDescent="0.25">
      <c r="A94" s="17" t="s">
        <v>668</v>
      </c>
      <c r="B94" s="4" t="s">
        <v>669</v>
      </c>
      <c r="C94" s="6" t="s">
        <v>83</v>
      </c>
      <c r="D94" s="12" t="str">
        <f>D77</f>
        <v>No</v>
      </c>
      <c r="E94" s="9"/>
      <c r="F94" s="27" t="str">
        <f>IF(E94="","",IF(UPPER(E94)=UPPER(D94),"PASS","FAIL"))</f>
        <v/>
      </c>
      <c r="G94" s="12" t="str">
        <f>G77</f>
        <v>No</v>
      </c>
      <c r="H94" s="9"/>
      <c r="I94" s="27" t="str">
        <f>IF(H94="","",IF(UPPER(H94)=UPPER(G94),"PASS","FAIL"))</f>
        <v/>
      </c>
    </row>
    <row r="95" spans="2:2" x14ac:dyDescent="0.25">
      <c r="B95" s="2" t="s">
        <v>673</v>
      </c>
    </row>
    <row r="97" spans="1:13" x14ac:dyDescent="0.25">
      <c r="A97" s="3" t="s">
        <v>850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6" x14ac:dyDescent="0.25">
      <c r="A98" s="16" t="s">
        <v>517</v>
      </c>
      <c r="B98" s="16" t="s">
        <v>675</v>
      </c>
      <c r="C98" s="16" t="s">
        <v>676</v>
      </c>
      <c r="D98" s="16" t="s">
        <v>677</v>
      </c>
      <c r="E98" s="16" t="s">
        <v>624</v>
      </c>
      <c r="F98" s="16" t="s">
        <v>625</v>
      </c>
    </row>
    <row r="99" spans="1:6" x14ac:dyDescent="0.25">
      <c r="A99" s="17"/>
      <c r="B99" s="4" t="s">
        <v>678</v>
      </c>
      <c r="C99" s="6" t="s">
        <v>679</v>
      </c>
      <c r="D99" s="20">
        <v>46365</v>
      </c>
      <c r="E99" s="4"/>
      <c r="F99" s="4"/>
    </row>
    <row r="100" spans="1:6" x14ac:dyDescent="0.25">
      <c r="A100" s="17"/>
      <c r="B100" s="4" t="s">
        <v>680</v>
      </c>
      <c r="C100" s="6"/>
      <c r="D100" s="20">
        <v>46367</v>
      </c>
      <c r="E100" s="4"/>
      <c r="F100" s="4"/>
    </row>
    <row r="101" spans="1:6" x14ac:dyDescent="0.25">
      <c r="A101" s="17"/>
      <c r="B101" s="4" t="s">
        <v>681</v>
      </c>
      <c r="C101" s="6" t="s">
        <v>682</v>
      </c>
      <c r="D101" s="21">
        <v>1</v>
      </c>
      <c r="E101" s="4"/>
      <c r="F101" s="4"/>
    </row>
    <row r="102" spans="1:6" x14ac:dyDescent="0.25">
      <c r="A102" s="17"/>
      <c r="B102" s="4" t="s">
        <v>537</v>
      </c>
      <c r="C102" s="6" t="s">
        <v>682</v>
      </c>
      <c r="D102" s="7">
        <v>61</v>
      </c>
      <c r="E102" s="4"/>
      <c r="F102" s="4"/>
    </row>
    <row r="104" spans="1:13" x14ac:dyDescent="0.25">
      <c r="A104" s="16" t="s">
        <v>517</v>
      </c>
      <c r="B104" s="16" t="s">
        <v>683</v>
      </c>
      <c r="C104" s="16" t="s">
        <v>684</v>
      </c>
      <c r="D104" s="16" t="s">
        <v>685</v>
      </c>
      <c r="E104" s="16" t="s">
        <v>686</v>
      </c>
      <c r="F104" s="16" t="s">
        <v>687</v>
      </c>
      <c r="G104" s="16" t="s">
        <v>688</v>
      </c>
      <c r="H104" s="16" t="s">
        <v>689</v>
      </c>
      <c r="I104" s="16" t="s">
        <v>690</v>
      </c>
      <c r="J104" s="16" t="s">
        <v>691</v>
      </c>
      <c r="K104" s="16" t="s">
        <v>692</v>
      </c>
      <c r="L104" s="16" t="s">
        <v>625</v>
      </c>
      <c r="M104" s="16" t="s">
        <v>693</v>
      </c>
    </row>
    <row r="105" spans="1:13" x14ac:dyDescent="0.25">
      <c r="A105" s="17" t="s">
        <v>694</v>
      </c>
      <c r="B105" s="4" t="s">
        <v>695</v>
      </c>
      <c r="C105" s="12" t="str">
        <f>IF(D105&gt;0,"Main Actual Costs grid",IF(E105&gt;0,"Additional Expenses section","Not shown on the form"))</f>
        <v>Main Actual Costs grid</v>
      </c>
      <c r="D105" s="24">
        <f>D17</f>
        <v>261.96</v>
      </c>
      <c r="E105" s="7">
        <v>261.96</v>
      </c>
      <c r="F105" s="29">
        <f>E105-D105</f>
        <v>0</v>
      </c>
      <c r="G105" s="30">
        <f>IF(D105&gt;0,(E105-D105)/D105,0)</f>
        <v>0</v>
      </c>
      <c r="H105" s="17" t="str">
        <f>IF(AND(D105&gt;0,E105&gt;D105*1.1),"Y","N")</f>
        <v>N</v>
      </c>
      <c r="I105" s="17" t="str">
        <f>IF(AND(D105=0,E105&gt;0),"Y","N")</f>
        <v>N</v>
      </c>
      <c r="J105" s="17" t="str">
        <f>IF(OR(H105="Y",I105="Y"),"Y","N")</f>
        <v>N</v>
      </c>
      <c r="K105" s="9"/>
      <c r="L105" s="27" t="str">
        <f>IF(LEFT(C105,3)="Not","n/a",IF(K105="","",IF(UPPER(K105)=J105,"PASS","FAIL")))</f>
        <v/>
      </c>
      <c r="M105" s="9"/>
    </row>
    <row r="106" spans="1:13" x14ac:dyDescent="0.25">
      <c r="A106" s="17" t="s">
        <v>696</v>
      </c>
      <c r="B106" s="4" t="s">
        <v>544</v>
      </c>
      <c r="C106" s="12" t="str">
        <f>IF(D106&gt;0,"Main Actual Costs grid",IF(E106&gt;0,"Additional Expenses section","Not shown on the form"))</f>
        <v>Main Actual Costs grid</v>
      </c>
      <c r="D106" s="24">
        <f>D20</f>
        <v>280</v>
      </c>
      <c r="E106" s="7">
        <v>280</v>
      </c>
      <c r="F106" s="29">
        <f>E106-D106</f>
        <v>0</v>
      </c>
      <c r="G106" s="30">
        <f>IF(D106&gt;0,(E106-D106)/D106,0)</f>
        <v>0</v>
      </c>
      <c r="H106" s="17" t="str">
        <f>IF(AND(D106&gt;0,E106&gt;D106*1.1),"Y","N")</f>
        <v>N</v>
      </c>
      <c r="I106" s="17" t="str">
        <f>IF(AND(D106=0,E106&gt;0),"Y","N")</f>
        <v>N</v>
      </c>
      <c r="J106" s="17" t="str">
        <f>IF(OR(H106="Y",I106="Y"),"Y","N")</f>
        <v>N</v>
      </c>
      <c r="K106" s="9"/>
      <c r="L106" s="27" t="str">
        <f>IF(LEFT(C106,3)="Not","n/a",IF(K106="","",IF(UPPER(K106)=J106,"PASS","FAIL")))</f>
        <v/>
      </c>
      <c r="M106" s="9"/>
    </row>
    <row r="107" spans="1:13" x14ac:dyDescent="0.25">
      <c r="A107" s="17" t="s">
        <v>697</v>
      </c>
      <c r="B107" s="4" t="s">
        <v>546</v>
      </c>
      <c r="C107" s="12" t="str">
        <f>IF(D107&gt;0,"Main Actual Costs grid",IF(E107&gt;0,"Additional Expenses section","Not shown on the form"))</f>
        <v>Not shown on the form</v>
      </c>
      <c r="D107" s="24">
        <f>D21</f>
        <v>0</v>
      </c>
      <c r="E107" s="7">
        <v>0</v>
      </c>
      <c r="F107" s="29">
        <f>E107-D107</f>
        <v>0</v>
      </c>
      <c r="G107" s="30">
        <f>IF(D107&gt;0,(E107-D107)/D107,0)</f>
        <v>0</v>
      </c>
      <c r="H107" s="17" t="str">
        <f>IF(AND(D107&gt;0,E107&gt;D107*1.1),"Y","N")</f>
        <v>N</v>
      </c>
      <c r="I107" s="17" t="str">
        <f>IF(AND(D107=0,E107&gt;0),"Y","N")</f>
        <v>N</v>
      </c>
      <c r="J107" s="17" t="str">
        <f>IF(OR(H107="Y",I107="Y"),"Y","N")</f>
        <v>N</v>
      </c>
      <c r="K107" s="9"/>
      <c r="L107" s="27" t="str">
        <f>IF(LEFT(C107,3)="Not","n/a",IF(K107="","",IF(UPPER(K107)=J107,"PASS","FAIL")))</f>
        <v>n/a</v>
      </c>
      <c r="M107" s="9"/>
    </row>
    <row r="108" spans="1:13" x14ac:dyDescent="0.25">
      <c r="A108" s="17" t="s">
        <v>698</v>
      </c>
      <c r="B108" s="4" t="s">
        <v>547</v>
      </c>
      <c r="C108" s="12" t="str">
        <f>IF(D108&gt;0,"Main Actual Costs grid",IF(E108&gt;0,"Additional Expenses section","Not shown on the form"))</f>
        <v>Not shown on the form</v>
      </c>
      <c r="D108" s="24">
        <f>D22</f>
        <v>0</v>
      </c>
      <c r="E108" s="7">
        <v>0</v>
      </c>
      <c r="F108" s="29">
        <f>E108-D108</f>
        <v>0</v>
      </c>
      <c r="G108" s="30">
        <f>IF(D108&gt;0,(E108-D108)/D108,0)</f>
        <v>0</v>
      </c>
      <c r="H108" s="17" t="str">
        <f>IF(AND(D108&gt;0,E108&gt;D108*1.1),"Y","N")</f>
        <v>N</v>
      </c>
      <c r="I108" s="17" t="str">
        <f>IF(AND(D108=0,E108&gt;0),"Y","N")</f>
        <v>N</v>
      </c>
      <c r="J108" s="17" t="str">
        <f>IF(OR(H108="Y",I108="Y"),"Y","N")</f>
        <v>N</v>
      </c>
      <c r="K108" s="9"/>
      <c r="L108" s="27" t="str">
        <f>IF(LEFT(C108,3)="Not","n/a",IF(K108="","",IF(UPPER(K108)=J108,"PASS","FAIL")))</f>
        <v>n/a</v>
      </c>
      <c r="M108" s="9"/>
    </row>
    <row r="109" spans="1:13" x14ac:dyDescent="0.25">
      <c r="A109" s="17" t="s">
        <v>699</v>
      </c>
      <c r="B109" s="4" t="s">
        <v>551</v>
      </c>
      <c r="C109" s="12" t="str">
        <f>IF(D109&gt;0,"Main Actual Costs grid",IF(E109&gt;0,"Additional Expenses section","Not shown on the form"))</f>
        <v>Not shown on the form</v>
      </c>
      <c r="D109" s="24">
        <f>D25</f>
        <v>0</v>
      </c>
      <c r="E109" s="7">
        <v>0</v>
      </c>
      <c r="F109" s="29">
        <f>E109-D109</f>
        <v>0</v>
      </c>
      <c r="G109" s="30">
        <f>IF(D109&gt;0,(E109-D109)/D109,0)</f>
        <v>0</v>
      </c>
      <c r="H109" s="17" t="str">
        <f>IF(AND(D109&gt;0,E109&gt;D109*1.1),"Y","N")</f>
        <v>N</v>
      </c>
      <c r="I109" s="17" t="str">
        <f>IF(AND(D109=0,E109&gt;0),"Y","N")</f>
        <v>N</v>
      </c>
      <c r="J109" s="17" t="str">
        <f>IF(OR(H109="Y",I109="Y"),"Y","N")</f>
        <v>N</v>
      </c>
      <c r="K109" s="9"/>
      <c r="L109" s="27" t="str">
        <f>IF(LEFT(C109,3)="Not","n/a",IF(K109="","",IF(UPPER(K109)=J109,"PASS","FAIL")))</f>
        <v>n/a</v>
      </c>
      <c r="M109" s="9"/>
    </row>
    <row r="110" spans="1:13" x14ac:dyDescent="0.25">
      <c r="A110" s="17" t="s">
        <v>700</v>
      </c>
      <c r="B110" s="4" t="s">
        <v>552</v>
      </c>
      <c r="C110" s="12" t="str">
        <f>IF(D110&gt;0,"Main Actual Costs grid",IF(E110&gt;0,"Additional Expenses section","Not shown on the form"))</f>
        <v>Not shown on the form</v>
      </c>
      <c r="D110" s="24">
        <f>D26</f>
        <v>0</v>
      </c>
      <c r="E110" s="7">
        <v>0</v>
      </c>
      <c r="F110" s="29">
        <f>E110-D110</f>
        <v>0</v>
      </c>
      <c r="G110" s="30">
        <f>IF(D110&gt;0,(E110-D110)/D110,0)</f>
        <v>0</v>
      </c>
      <c r="H110" s="17" t="str">
        <f>IF(AND(D110&gt;0,E110&gt;D110*1.1),"Y","N")</f>
        <v>N</v>
      </c>
      <c r="I110" s="17" t="str">
        <f>IF(AND(D110=0,E110&gt;0),"Y","N")</f>
        <v>N</v>
      </c>
      <c r="J110" s="17" t="str">
        <f>IF(OR(H110="Y",I110="Y"),"Y","N")</f>
        <v>N</v>
      </c>
      <c r="K110" s="9"/>
      <c r="L110" s="27" t="str">
        <f>IF(LEFT(C110,3)="Not","n/a",IF(K110="","",IF(UPPER(K110)=J110,"PASS","FAIL")))</f>
        <v>n/a</v>
      </c>
      <c r="M110" s="9"/>
    </row>
    <row r="111" spans="1:13" x14ac:dyDescent="0.25">
      <c r="A111" s="17" t="s">
        <v>701</v>
      </c>
      <c r="B111" s="4" t="s">
        <v>553</v>
      </c>
      <c r="C111" s="12" t="str">
        <f>IF(D111&gt;0,"Main Actual Costs grid",IF(E111&gt;0,"Additional Expenses section","Not shown on the form"))</f>
        <v>Not shown on the form</v>
      </c>
      <c r="D111" s="24">
        <f>D27</f>
        <v>0</v>
      </c>
      <c r="E111" s="7">
        <v>0</v>
      </c>
      <c r="F111" s="29">
        <f>E111-D111</f>
        <v>0</v>
      </c>
      <c r="G111" s="30">
        <f>IF(D111&gt;0,(E111-D111)/D111,0)</f>
        <v>0</v>
      </c>
      <c r="H111" s="17" t="str">
        <f>IF(AND(D111&gt;0,E111&gt;D111*1.1),"Y","N")</f>
        <v>N</v>
      </c>
      <c r="I111" s="17" t="str">
        <f>IF(AND(D111=0,E111&gt;0),"Y","N")</f>
        <v>N</v>
      </c>
      <c r="J111" s="17" t="str">
        <f>IF(OR(H111="Y",I111="Y"),"Y","N")</f>
        <v>N</v>
      </c>
      <c r="K111" s="9"/>
      <c r="L111" s="27" t="str">
        <f>IF(LEFT(C111,3)="Not","n/a",IF(K111="","",IF(UPPER(K111)=J111,"PASS","FAIL")))</f>
        <v>n/a</v>
      </c>
      <c r="M111" s="9"/>
    </row>
    <row r="112" spans="1:13" x14ac:dyDescent="0.25">
      <c r="A112" s="17" t="s">
        <v>702</v>
      </c>
      <c r="B112" s="4" t="s">
        <v>554</v>
      </c>
      <c r="C112" s="12" t="str">
        <f>IF(D112&gt;0,"Main Actual Costs grid",IF(E112&gt;0,"Additional Expenses section","Not shown on the form"))</f>
        <v>Not shown on the form</v>
      </c>
      <c r="D112" s="24">
        <f>D28</f>
        <v>0</v>
      </c>
      <c r="E112" s="7">
        <v>0</v>
      </c>
      <c r="F112" s="29">
        <f>E112-D112</f>
        <v>0</v>
      </c>
      <c r="G112" s="30">
        <f>IF(D112&gt;0,(E112-D112)/D112,0)</f>
        <v>0</v>
      </c>
      <c r="H112" s="17" t="str">
        <f>IF(AND(D112&gt;0,E112&gt;D112*1.1),"Y","N")</f>
        <v>N</v>
      </c>
      <c r="I112" s="17" t="str">
        <f>IF(AND(D112=0,E112&gt;0),"Y","N")</f>
        <v>N</v>
      </c>
      <c r="J112" s="17" t="str">
        <f>IF(OR(H112="Y",I112="Y"),"Y","N")</f>
        <v>N</v>
      </c>
      <c r="K112" s="9"/>
      <c r="L112" s="27" t="str">
        <f>IF(LEFT(C112,3)="Not","n/a",IF(K112="","",IF(UPPER(K112)=J112,"PASS","FAIL")))</f>
        <v>n/a</v>
      </c>
      <c r="M112" s="9"/>
    </row>
    <row r="113" spans="1:13" x14ac:dyDescent="0.25">
      <c r="A113" s="17" t="s">
        <v>703</v>
      </c>
      <c r="B113" s="4" t="s">
        <v>555</v>
      </c>
      <c r="C113" s="12" t="str">
        <f>IF(D113&gt;0,"Main Actual Costs grid",IF(E113&gt;0,"Additional Expenses section","Not shown on the form"))</f>
        <v>Not shown on the form</v>
      </c>
      <c r="D113" s="24">
        <f>D29</f>
        <v>0</v>
      </c>
      <c r="E113" s="7">
        <v>0</v>
      </c>
      <c r="F113" s="29">
        <f>E113-D113</f>
        <v>0</v>
      </c>
      <c r="G113" s="30">
        <f>IF(D113&gt;0,(E113-D113)/D113,0)</f>
        <v>0</v>
      </c>
      <c r="H113" s="17" t="str">
        <f>IF(AND(D113&gt;0,E113&gt;D113*1.1),"Y","N")</f>
        <v>N</v>
      </c>
      <c r="I113" s="17" t="str">
        <f>IF(AND(D113=0,E113&gt;0),"Y","N")</f>
        <v>N</v>
      </c>
      <c r="J113" s="17" t="str">
        <f>IF(OR(H113="Y",I113="Y"),"Y","N")</f>
        <v>N</v>
      </c>
      <c r="K113" s="9"/>
      <c r="L113" s="27" t="str">
        <f>IF(LEFT(C113,3)="Not","n/a",IF(K113="","",IF(UPPER(K113)=J113,"PASS","FAIL")))</f>
        <v>n/a</v>
      </c>
      <c r="M113" s="9"/>
    </row>
    <row r="114" spans="1:13" x14ac:dyDescent="0.25">
      <c r="A114" s="17" t="s">
        <v>704</v>
      </c>
      <c r="B114" s="4" t="s">
        <v>556</v>
      </c>
      <c r="C114" s="12" t="str">
        <f>IF(D114&gt;0,"Main Actual Costs grid",IF(E114&gt;0,"Additional Expenses section","Not shown on the form"))</f>
        <v>Not shown on the form</v>
      </c>
      <c r="D114" s="24">
        <f>D30</f>
        <v>0</v>
      </c>
      <c r="E114" s="7">
        <v>0</v>
      </c>
      <c r="F114" s="29">
        <f>E114-D114</f>
        <v>0</v>
      </c>
      <c r="G114" s="30">
        <f>IF(D114&gt;0,(E114-D114)/D114,0)</f>
        <v>0</v>
      </c>
      <c r="H114" s="17" t="str">
        <f>IF(AND(D114&gt;0,E114&gt;D114*1.1),"Y","N")</f>
        <v>N</v>
      </c>
      <c r="I114" s="17" t="str">
        <f>IF(AND(D114=0,E114&gt;0),"Y","N")</f>
        <v>N</v>
      </c>
      <c r="J114" s="17" t="str">
        <f>IF(OR(H114="Y",I114="Y"),"Y","N")</f>
        <v>N</v>
      </c>
      <c r="K114" s="9"/>
      <c r="L114" s="27" t="str">
        <f>IF(LEFT(C114,3)="Not","n/a",IF(K114="","",IF(UPPER(K114)=J114,"PASS","FAIL")))</f>
        <v>n/a</v>
      </c>
      <c r="M114" s="9"/>
    </row>
    <row r="115" spans="1:13" x14ac:dyDescent="0.25">
      <c r="A115" s="17" t="s">
        <v>705</v>
      </c>
      <c r="B115" s="4" t="s">
        <v>548</v>
      </c>
      <c r="C115" s="12" t="str">
        <f>IF(D115&gt;0,"Main Actual Costs grid",IF(E115&gt;0,"Additional Expenses section","Not shown on the form"))</f>
        <v>Not shown on the form</v>
      </c>
      <c r="D115" s="24">
        <f>D23</f>
        <v>0</v>
      </c>
      <c r="E115" s="7">
        <v>0</v>
      </c>
      <c r="F115" s="29">
        <f>E115-D115</f>
        <v>0</v>
      </c>
      <c r="G115" s="30">
        <f>IF(D115&gt;0,(E115-D115)/D115,0)</f>
        <v>0</v>
      </c>
      <c r="H115" s="17" t="str">
        <f>IF(AND(D115&gt;0,E115&gt;D115*1.1),"Y","N")</f>
        <v>N</v>
      </c>
      <c r="I115" s="17" t="str">
        <f>IF(AND(D115=0,E115&gt;0),"Y","N")</f>
        <v>N</v>
      </c>
      <c r="J115" s="17" t="str">
        <f>IF(OR(H115="Y",I115="Y"),"Y","N")</f>
        <v>N</v>
      </c>
      <c r="K115" s="9"/>
      <c r="L115" s="27" t="str">
        <f>IF(LEFT(C115,3)="Not","n/a",IF(K115="","",IF(UPPER(K115)=J115,"PASS","FAIL")))</f>
        <v>n/a</v>
      </c>
      <c r="M115" s="9"/>
    </row>
    <row r="116" spans="1:13" x14ac:dyDescent="0.25">
      <c r="A116" s="17" t="s">
        <v>706</v>
      </c>
      <c r="B116" s="4" t="s">
        <v>550</v>
      </c>
      <c r="C116" s="12" t="str">
        <f>IF(D116&gt;0,"Main Actual Costs grid",IF(E116&gt;0,"Additional Expenses section","Not shown on the form"))</f>
        <v>Not shown on the form</v>
      </c>
      <c r="D116" s="24">
        <f>D24</f>
        <v>0</v>
      </c>
      <c r="E116" s="7">
        <v>0</v>
      </c>
      <c r="F116" s="29">
        <f>E116-D116</f>
        <v>0</v>
      </c>
      <c r="G116" s="30">
        <f>IF(D116&gt;0,(E116-D116)/D116,0)</f>
        <v>0</v>
      </c>
      <c r="H116" s="17" t="str">
        <f>IF(AND(D116&gt;0,E116&gt;D116*1.1),"Y","N")</f>
        <v>N</v>
      </c>
      <c r="I116" s="17" t="str">
        <f>IF(AND(D116=0,E116&gt;0),"Y","N")</f>
        <v>N</v>
      </c>
      <c r="J116" s="17" t="str">
        <f>IF(OR(H116="Y",I116="Y"),"Y","N")</f>
        <v>N</v>
      </c>
      <c r="K116" s="9"/>
      <c r="L116" s="27" t="str">
        <f>IF(LEFT(C116,3)="Not","n/a",IF(K116="","",IF(UPPER(K116)=J116,"PASS","FAIL")))</f>
        <v>n/a</v>
      </c>
      <c r="M116" s="9"/>
    </row>
    <row r="118" spans="1:6" x14ac:dyDescent="0.25">
      <c r="A118" s="16" t="s">
        <v>517</v>
      </c>
      <c r="B118" s="16" t="s">
        <v>707</v>
      </c>
      <c r="C118" s="16" t="s">
        <v>708</v>
      </c>
      <c r="D118" s="16" t="s">
        <v>709</v>
      </c>
      <c r="E118" s="16" t="s">
        <v>624</v>
      </c>
      <c r="F118" s="16" t="s">
        <v>625</v>
      </c>
    </row>
    <row r="119" spans="1:6" x14ac:dyDescent="0.25">
      <c r="A119" s="17" t="s">
        <v>710</v>
      </c>
      <c r="B119" s="4" t="s">
        <v>711</v>
      </c>
      <c r="C119" s="6" t="s">
        <v>712</v>
      </c>
      <c r="D119" s="24">
        <f>D55</f>
        <v>0</v>
      </c>
      <c r="E119" s="28"/>
      <c r="F119" s="27" t="str">
        <f>IF(E119="","",IF(ABS(E119-D119)&lt;=Setup!$C$6,"PASS","FAIL"))</f>
        <v/>
      </c>
    </row>
    <row r="120" spans="1:6" x14ac:dyDescent="0.25">
      <c r="A120" s="17" t="s">
        <v>713</v>
      </c>
      <c r="B120" s="4" t="s">
        <v>714</v>
      </c>
      <c r="C120" s="6" t="s">
        <v>715</v>
      </c>
      <c r="D120" s="24">
        <f>D102</f>
        <v>61</v>
      </c>
      <c r="E120" s="28"/>
      <c r="F120" s="27" t="str">
        <f>IF(E120="","",IF(ABS(E120-D120)&lt;=Setup!$C$6,"PASS","FAIL"))</f>
        <v/>
      </c>
    </row>
    <row r="121" spans="1:6" x14ac:dyDescent="0.25">
      <c r="A121" s="17" t="s">
        <v>716</v>
      </c>
      <c r="B121" s="4" t="s">
        <v>717</v>
      </c>
      <c r="C121" s="6" t="s">
        <v>715</v>
      </c>
      <c r="D121" s="18">
        <f>D13</f>
        <v>1</v>
      </c>
      <c r="E121" s="26"/>
      <c r="F121" s="27" t="str">
        <f>IF(E121="","",IF(ABS(E121-D121)&lt;=Setup!$C$6,"PASS","FAIL"))</f>
        <v/>
      </c>
    </row>
    <row r="122" spans="1:6" x14ac:dyDescent="0.25">
      <c r="A122" s="17" t="s">
        <v>718</v>
      </c>
      <c r="B122" s="4" t="s">
        <v>61</v>
      </c>
      <c r="C122" s="6" t="s">
        <v>719</v>
      </c>
      <c r="D122" s="18">
        <f>MAX(0,D100-D99)</f>
        <v>2</v>
      </c>
      <c r="E122" s="26"/>
      <c r="F122" s="27" t="str">
        <f>IF(E122="","",IF(ABS(E122-D122)&lt;=Setup!$C$6,"PASS","FAIL"))</f>
        <v/>
      </c>
    </row>
    <row r="123" spans="1:6" x14ac:dyDescent="0.25">
      <c r="A123" s="17" t="s">
        <v>720</v>
      </c>
      <c r="B123" s="4" t="s">
        <v>630</v>
      </c>
      <c r="C123" s="6" t="s">
        <v>64</v>
      </c>
      <c r="D123" s="24">
        <f>1.5*D102+MAX(D122-1,0)*D102</f>
        <v>152.5</v>
      </c>
      <c r="E123" s="28"/>
      <c r="F123" s="27" t="str">
        <f>IF(E123="","",IF(ABS(E123-D123)&lt;=Setup!$C$6,"PASS","FAIL"))</f>
        <v/>
      </c>
    </row>
    <row r="124" spans="1:6" x14ac:dyDescent="0.25">
      <c r="A124" s="17" t="s">
        <v>721</v>
      </c>
      <c r="B124" s="4" t="s">
        <v>722</v>
      </c>
      <c r="C124" s="6" t="s">
        <v>723</v>
      </c>
      <c r="D124" s="24">
        <f>E105+E106+E108+E107</f>
        <v>541.96</v>
      </c>
      <c r="E124" s="15"/>
      <c r="F124" s="15" t="s">
        <v>672</v>
      </c>
    </row>
    <row r="125" spans="1:6" x14ac:dyDescent="0.25">
      <c r="A125" s="17" t="s">
        <v>724</v>
      </c>
      <c r="B125" s="4" t="s">
        <v>66</v>
      </c>
      <c r="C125" s="6" t="s">
        <v>725</v>
      </c>
      <c r="D125" s="24">
        <f>D123+D124</f>
        <v>694.46</v>
      </c>
      <c r="E125" s="28"/>
      <c r="F125" s="27" t="str">
        <f>IF(E125="","",IF(ABS(E125-D125)&lt;=Setup!$C$6,"PASS","FAIL"))</f>
        <v/>
      </c>
    </row>
    <row r="126" spans="1:6" x14ac:dyDescent="0.25">
      <c r="A126" s="17" t="s">
        <v>726</v>
      </c>
      <c r="B126" s="4" t="s">
        <v>727</v>
      </c>
      <c r="C126" s="6" t="s">
        <v>579</v>
      </c>
      <c r="D126" s="24">
        <f>SUM(E109:E116)</f>
        <v>0</v>
      </c>
      <c r="E126" s="15"/>
      <c r="F126" s="15" t="s">
        <v>672</v>
      </c>
    </row>
    <row r="127" spans="1:6" x14ac:dyDescent="0.25">
      <c r="A127" s="17" t="s">
        <v>728</v>
      </c>
      <c r="B127" s="10" t="s">
        <v>68</v>
      </c>
      <c r="C127" s="6" t="s">
        <v>729</v>
      </c>
      <c r="D127" s="25">
        <f>D125*D101+D126</f>
        <v>694.46</v>
      </c>
      <c r="E127" s="28"/>
      <c r="F127" s="27" t="str">
        <f>IF(E127="","",IF(ABS(E127-D127)&lt;=Setup!$C$6,"PASS","FAIL"))</f>
        <v/>
      </c>
    </row>
    <row r="128" spans="1:6" x14ac:dyDescent="0.25">
      <c r="A128" s="17" t="s">
        <v>730</v>
      </c>
      <c r="B128" s="4" t="s">
        <v>731</v>
      </c>
      <c r="C128" s="6" t="s">
        <v>732</v>
      </c>
      <c r="D128" s="24">
        <f>D55</f>
        <v>0</v>
      </c>
      <c r="E128" s="28"/>
      <c r="F128" s="27" t="str">
        <f>IF(E128="","",IF(ABS(E128-D128)&lt;=Setup!$C$6,"PASS","FAIL"))</f>
        <v/>
      </c>
    </row>
    <row r="129" spans="1:6" x14ac:dyDescent="0.25">
      <c r="A129" s="17" t="s">
        <v>733</v>
      </c>
      <c r="B129" s="10" t="s">
        <v>734</v>
      </c>
      <c r="C129" s="6" t="s">
        <v>587</v>
      </c>
      <c r="D129" s="25">
        <f>D127+D128</f>
        <v>694.46</v>
      </c>
      <c r="E129" s="28"/>
      <c r="F129" s="27" t="str">
        <f>IF(E129="","",IF(ABS(E129-D129)&lt;=Setup!$C$6,"PASS","FAIL"))</f>
        <v/>
      </c>
    </row>
    <row r="130" spans="1:6" x14ac:dyDescent="0.25">
      <c r="A130" s="17" t="s">
        <v>735</v>
      </c>
      <c r="B130" s="4" t="s">
        <v>736</v>
      </c>
      <c r="C130" s="6" t="s">
        <v>737</v>
      </c>
      <c r="D130" s="24">
        <f>D50+D55</f>
        <v>694.46</v>
      </c>
      <c r="E130" s="15"/>
      <c r="F130" s="15" t="s">
        <v>672</v>
      </c>
    </row>
    <row r="131" spans="1:6" x14ac:dyDescent="0.25">
      <c r="A131" s="17" t="s">
        <v>738</v>
      </c>
      <c r="B131" s="10" t="s">
        <v>739</v>
      </c>
      <c r="C131" s="6" t="s">
        <v>740</v>
      </c>
      <c r="D131" s="31">
        <f>D129-D130</f>
        <v>0</v>
      </c>
      <c r="E131" s="32"/>
      <c r="F131" s="27" t="str">
        <f>IF(E131="","",IF(ABS(E131-D131)&lt;=Setup!$C$6,"PASS","FAIL"))</f>
        <v/>
      </c>
    </row>
    <row r="132" spans="1:6" x14ac:dyDescent="0.25">
      <c r="A132" s="17" t="s">
        <v>741</v>
      </c>
      <c r="B132" s="4" t="s">
        <v>742</v>
      </c>
      <c r="C132" s="6" t="s">
        <v>743</v>
      </c>
      <c r="D132" s="24">
        <f>D129</f>
        <v>694.46</v>
      </c>
      <c r="E132" s="28"/>
      <c r="F132" s="27" t="str">
        <f>IF(E132="","",IF(ABS(E132-D132)&lt;=Setup!$C$6,"PASS","FAIL"))</f>
        <v/>
      </c>
    </row>
    <row r="133" spans="1:6" x14ac:dyDescent="0.25">
      <c r="A133" s="17" t="s">
        <v>744</v>
      </c>
      <c r="B133" s="4" t="s">
        <v>745</v>
      </c>
      <c r="C133" s="6" t="s">
        <v>746</v>
      </c>
      <c r="D133" s="29">
        <f>D131</f>
        <v>0</v>
      </c>
      <c r="E133" s="32"/>
      <c r="F133" s="27" t="str">
        <f>IF(E133="","",IF(ABS(E133-D133)&lt;=Setup!$C$6,"PASS","FAIL"))</f>
        <v/>
      </c>
    </row>
    <row r="134" spans="1:6" x14ac:dyDescent="0.25">
      <c r="A134" s="17" t="s">
        <v>747</v>
      </c>
      <c r="B134" s="4" t="s">
        <v>748</v>
      </c>
      <c r="C134" s="6" t="s">
        <v>749</v>
      </c>
      <c r="D134" s="18">
        <f>COUNTIF(H105:H116,"Y")</f>
        <v>0</v>
      </c>
      <c r="E134" s="26"/>
      <c r="F134" s="27" t="str">
        <f>IF(E134="","",IF(ABS(E134-D134)&lt;=Setup!$C$6,"PASS","FAIL"))</f>
        <v/>
      </c>
    </row>
    <row r="135" spans="1:6" x14ac:dyDescent="0.25">
      <c r="A135" s="17" t="s">
        <v>750</v>
      </c>
      <c r="B135" s="4" t="s">
        <v>751</v>
      </c>
      <c r="C135" s="6" t="s">
        <v>752</v>
      </c>
      <c r="D135" s="18">
        <f>COUNTIF(I105:I116,"Y")</f>
        <v>0</v>
      </c>
      <c r="E135" s="26"/>
      <c r="F135" s="27" t="str">
        <f>IF(E135="","",IF(ABS(E135-D135)&lt;=Setup!$C$6,"PASS","FAIL"))</f>
        <v/>
      </c>
    </row>
    <row r="137" spans="1:13" x14ac:dyDescent="0.25">
      <c r="A137" s="3" t="s">
        <v>851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spans="1:6" x14ac:dyDescent="0.25">
      <c r="A138" s="16" t="s">
        <v>517</v>
      </c>
      <c r="B138" s="16" t="s">
        <v>675</v>
      </c>
      <c r="C138" s="16" t="s">
        <v>676</v>
      </c>
      <c r="D138" s="16" t="s">
        <v>677</v>
      </c>
      <c r="E138" s="16" t="s">
        <v>624</v>
      </c>
      <c r="F138" s="16" t="s">
        <v>625</v>
      </c>
    </row>
    <row r="139" spans="1:6" x14ac:dyDescent="0.25">
      <c r="A139" s="17"/>
      <c r="B139" s="4" t="s">
        <v>678</v>
      </c>
      <c r="C139" s="6" t="s">
        <v>679</v>
      </c>
      <c r="D139" s="20">
        <v>46365</v>
      </c>
      <c r="E139" s="4"/>
      <c r="F139" s="4"/>
    </row>
    <row r="140" spans="1:6" x14ac:dyDescent="0.25">
      <c r="A140" s="17"/>
      <c r="B140" s="4" t="s">
        <v>680</v>
      </c>
      <c r="C140" s="6"/>
      <c r="D140" s="20">
        <v>46367</v>
      </c>
      <c r="E140" s="4"/>
      <c r="F140" s="4"/>
    </row>
    <row r="141" spans="1:6" x14ac:dyDescent="0.25">
      <c r="A141" s="17"/>
      <c r="B141" s="4" t="s">
        <v>681</v>
      </c>
      <c r="C141" s="6" t="s">
        <v>682</v>
      </c>
      <c r="D141" s="21">
        <v>1</v>
      </c>
      <c r="E141" s="4"/>
      <c r="F141" s="4"/>
    </row>
    <row r="142" spans="1:6" x14ac:dyDescent="0.25">
      <c r="A142" s="17"/>
      <c r="B142" s="4" t="s">
        <v>537</v>
      </c>
      <c r="C142" s="6" t="s">
        <v>682</v>
      </c>
      <c r="D142" s="7">
        <v>61</v>
      </c>
      <c r="E142" s="4"/>
      <c r="F142" s="4"/>
    </row>
    <row r="144" spans="1:13" x14ac:dyDescent="0.25">
      <c r="A144" s="16" t="s">
        <v>517</v>
      </c>
      <c r="B144" s="16" t="s">
        <v>683</v>
      </c>
      <c r="C144" s="16" t="s">
        <v>684</v>
      </c>
      <c r="D144" s="16" t="s">
        <v>685</v>
      </c>
      <c r="E144" s="16" t="s">
        <v>686</v>
      </c>
      <c r="F144" s="16" t="s">
        <v>687</v>
      </c>
      <c r="G144" s="16" t="s">
        <v>688</v>
      </c>
      <c r="H144" s="16" t="s">
        <v>689</v>
      </c>
      <c r="I144" s="16" t="s">
        <v>690</v>
      </c>
      <c r="J144" s="16" t="s">
        <v>691</v>
      </c>
      <c r="K144" s="16" t="s">
        <v>692</v>
      </c>
      <c r="L144" s="16" t="s">
        <v>625</v>
      </c>
      <c r="M144" s="16" t="s">
        <v>693</v>
      </c>
    </row>
    <row r="145" spans="1:13" x14ac:dyDescent="0.25">
      <c r="A145" s="17" t="s">
        <v>694</v>
      </c>
      <c r="B145" s="4" t="s">
        <v>695</v>
      </c>
      <c r="C145" s="12" t="str">
        <f>IF(D145&gt;0,"Main Actual Costs grid",IF(E145&gt;0,"Additional Expenses section","Not shown on the form"))</f>
        <v>Main Actual Costs grid</v>
      </c>
      <c r="D145" s="24">
        <f>G17</f>
        <v>261.96</v>
      </c>
      <c r="E145" s="7">
        <v>261.96</v>
      </c>
      <c r="F145" s="29">
        <f>E145-D145</f>
        <v>0</v>
      </c>
      <c r="G145" s="30">
        <f>IF(D145&gt;0,(E145-D145)/D145,0)</f>
        <v>0</v>
      </c>
      <c r="H145" s="17" t="str">
        <f>IF(AND(D145&gt;0,E145&gt;D145*1.1),"Y","N")</f>
        <v>N</v>
      </c>
      <c r="I145" s="17" t="str">
        <f>IF(AND(D145=0,E145&gt;0),"Y","N")</f>
        <v>N</v>
      </c>
      <c r="J145" s="17" t="str">
        <f>IF(OR(H145="Y",I145="Y"),"Y","N")</f>
        <v>N</v>
      </c>
      <c r="K145" s="9"/>
      <c r="L145" s="27" t="str">
        <f>IF(LEFT(C145,3)="Not","n/a",IF(K145="","",IF(UPPER(K145)=J145,"PASS","FAIL")))</f>
        <v/>
      </c>
      <c r="M145" s="9"/>
    </row>
    <row r="146" spans="1:13" x14ac:dyDescent="0.25">
      <c r="A146" s="17" t="s">
        <v>696</v>
      </c>
      <c r="B146" s="4" t="s">
        <v>544</v>
      </c>
      <c r="C146" s="12" t="str">
        <f>IF(D146&gt;0,"Main Actual Costs grid",IF(E146&gt;0,"Additional Expenses section","Not shown on the form"))</f>
        <v>Main Actual Costs grid</v>
      </c>
      <c r="D146" s="24">
        <f>G20</f>
        <v>305</v>
      </c>
      <c r="E146" s="7">
        <v>330</v>
      </c>
      <c r="F146" s="29">
        <f>E146-D146</f>
        <v>25</v>
      </c>
      <c r="G146" s="30">
        <f>IF(D146&gt;0,(E146-D146)/D146,0)</f>
        <v>0.081967213115</v>
      </c>
      <c r="H146" s="17" t="str">
        <f>IF(AND(D146&gt;0,E146&gt;D146*1.1),"Y","N")</f>
        <v>N</v>
      </c>
      <c r="I146" s="17" t="str">
        <f>IF(AND(D146=0,E146&gt;0),"Y","N")</f>
        <v>N</v>
      </c>
      <c r="J146" s="17" t="str">
        <f>IF(OR(H146="Y",I146="Y"),"Y","N")</f>
        <v>N</v>
      </c>
      <c r="K146" s="9"/>
      <c r="L146" s="27" t="str">
        <f>IF(LEFT(C146,3)="Not","n/a",IF(K146="","",IF(UPPER(K146)=J146,"PASS","FAIL")))</f>
        <v/>
      </c>
      <c r="M146" s="9"/>
    </row>
    <row r="147" spans="1:13" x14ac:dyDescent="0.25">
      <c r="A147" s="17" t="s">
        <v>697</v>
      </c>
      <c r="B147" s="4" t="s">
        <v>546</v>
      </c>
      <c r="C147" s="12" t="str">
        <f>IF(D147&gt;0,"Main Actual Costs grid",IF(E147&gt;0,"Additional Expenses section","Not shown on the form"))</f>
        <v>Not shown on the form</v>
      </c>
      <c r="D147" s="24">
        <f>G21</f>
        <v>0</v>
      </c>
      <c r="E147" s="7">
        <v>0</v>
      </c>
      <c r="F147" s="29">
        <f>E147-D147</f>
        <v>0</v>
      </c>
      <c r="G147" s="30">
        <f>IF(D147&gt;0,(E147-D147)/D147,0)</f>
        <v>0</v>
      </c>
      <c r="H147" s="17" t="str">
        <f>IF(AND(D147&gt;0,E147&gt;D147*1.1),"Y","N")</f>
        <v>N</v>
      </c>
      <c r="I147" s="17" t="str">
        <f>IF(AND(D147=0,E147&gt;0),"Y","N")</f>
        <v>N</v>
      </c>
      <c r="J147" s="17" t="str">
        <f>IF(OR(H147="Y",I147="Y"),"Y","N")</f>
        <v>N</v>
      </c>
      <c r="K147" s="9"/>
      <c r="L147" s="27" t="str">
        <f>IF(LEFT(C147,3)="Not","n/a",IF(K147="","",IF(UPPER(K147)=J147,"PASS","FAIL")))</f>
        <v>n/a</v>
      </c>
      <c r="M147" s="9"/>
    </row>
    <row r="148" spans="1:13" x14ac:dyDescent="0.25">
      <c r="A148" s="17" t="s">
        <v>698</v>
      </c>
      <c r="B148" s="4" t="s">
        <v>547</v>
      </c>
      <c r="C148" s="12" t="str">
        <f>IF(D148&gt;0,"Main Actual Costs grid",IF(E148&gt;0,"Additional Expenses section","Not shown on the form"))</f>
        <v>Not shown on the form</v>
      </c>
      <c r="D148" s="24">
        <f>G22</f>
        <v>0</v>
      </c>
      <c r="E148" s="7">
        <v>0</v>
      </c>
      <c r="F148" s="29">
        <f>E148-D148</f>
        <v>0</v>
      </c>
      <c r="G148" s="30">
        <f>IF(D148&gt;0,(E148-D148)/D148,0)</f>
        <v>0</v>
      </c>
      <c r="H148" s="17" t="str">
        <f>IF(AND(D148&gt;0,E148&gt;D148*1.1),"Y","N")</f>
        <v>N</v>
      </c>
      <c r="I148" s="17" t="str">
        <f>IF(AND(D148=0,E148&gt;0),"Y","N")</f>
        <v>N</v>
      </c>
      <c r="J148" s="17" t="str">
        <f>IF(OR(H148="Y",I148="Y"),"Y","N")</f>
        <v>N</v>
      </c>
      <c r="K148" s="9"/>
      <c r="L148" s="27" t="str">
        <f>IF(LEFT(C148,3)="Not","n/a",IF(K148="","",IF(UPPER(K148)=J148,"PASS","FAIL")))</f>
        <v>n/a</v>
      </c>
      <c r="M148" s="9"/>
    </row>
    <row r="149" spans="1:13" x14ac:dyDescent="0.25">
      <c r="A149" s="17" t="s">
        <v>699</v>
      </c>
      <c r="B149" s="4" t="s">
        <v>551</v>
      </c>
      <c r="C149" s="12" t="str">
        <f>IF(D149&gt;0,"Main Actual Costs grid",IF(E149&gt;0,"Additional Expenses section","Not shown on the form"))</f>
        <v>Not shown on the form</v>
      </c>
      <c r="D149" s="24">
        <f>G25</f>
        <v>0</v>
      </c>
      <c r="E149" s="7">
        <v>0</v>
      </c>
      <c r="F149" s="29">
        <f>E149-D149</f>
        <v>0</v>
      </c>
      <c r="G149" s="30">
        <f>IF(D149&gt;0,(E149-D149)/D149,0)</f>
        <v>0</v>
      </c>
      <c r="H149" s="17" t="str">
        <f>IF(AND(D149&gt;0,E149&gt;D149*1.1),"Y","N")</f>
        <v>N</v>
      </c>
      <c r="I149" s="17" t="str">
        <f>IF(AND(D149=0,E149&gt;0),"Y","N")</f>
        <v>N</v>
      </c>
      <c r="J149" s="17" t="str">
        <f>IF(OR(H149="Y",I149="Y"),"Y","N")</f>
        <v>N</v>
      </c>
      <c r="K149" s="9"/>
      <c r="L149" s="27" t="str">
        <f>IF(LEFT(C149,3)="Not","n/a",IF(K149="","",IF(UPPER(K149)=J149,"PASS","FAIL")))</f>
        <v>n/a</v>
      </c>
      <c r="M149" s="9"/>
    </row>
    <row r="150" spans="1:13" x14ac:dyDescent="0.25">
      <c r="A150" s="17" t="s">
        <v>700</v>
      </c>
      <c r="B150" s="4" t="s">
        <v>552</v>
      </c>
      <c r="C150" s="12" t="str">
        <f>IF(D150&gt;0,"Main Actual Costs grid",IF(E150&gt;0,"Additional Expenses section","Not shown on the form"))</f>
        <v>Not shown on the form</v>
      </c>
      <c r="D150" s="24">
        <f>G26</f>
        <v>0</v>
      </c>
      <c r="E150" s="7">
        <v>0</v>
      </c>
      <c r="F150" s="29">
        <f>E150-D150</f>
        <v>0</v>
      </c>
      <c r="G150" s="30">
        <f>IF(D150&gt;0,(E150-D150)/D150,0)</f>
        <v>0</v>
      </c>
      <c r="H150" s="17" t="str">
        <f>IF(AND(D150&gt;0,E150&gt;D150*1.1),"Y","N")</f>
        <v>N</v>
      </c>
      <c r="I150" s="17" t="str">
        <f>IF(AND(D150=0,E150&gt;0),"Y","N")</f>
        <v>N</v>
      </c>
      <c r="J150" s="17" t="str">
        <f>IF(OR(H150="Y",I150="Y"),"Y","N")</f>
        <v>N</v>
      </c>
      <c r="K150" s="9"/>
      <c r="L150" s="27" t="str">
        <f>IF(LEFT(C150,3)="Not","n/a",IF(K150="","",IF(UPPER(K150)=J150,"PASS","FAIL")))</f>
        <v>n/a</v>
      </c>
      <c r="M150" s="9"/>
    </row>
    <row r="151" spans="1:13" x14ac:dyDescent="0.25">
      <c r="A151" s="17" t="s">
        <v>701</v>
      </c>
      <c r="B151" s="4" t="s">
        <v>553</v>
      </c>
      <c r="C151" s="12" t="str">
        <f>IF(D151&gt;0,"Main Actual Costs grid",IF(E151&gt;0,"Additional Expenses section","Not shown on the form"))</f>
        <v>Not shown on the form</v>
      </c>
      <c r="D151" s="24">
        <f>G27</f>
        <v>0</v>
      </c>
      <c r="E151" s="7">
        <v>0</v>
      </c>
      <c r="F151" s="29">
        <f>E151-D151</f>
        <v>0</v>
      </c>
      <c r="G151" s="30">
        <f>IF(D151&gt;0,(E151-D151)/D151,0)</f>
        <v>0</v>
      </c>
      <c r="H151" s="17" t="str">
        <f>IF(AND(D151&gt;0,E151&gt;D151*1.1),"Y","N")</f>
        <v>N</v>
      </c>
      <c r="I151" s="17" t="str">
        <f>IF(AND(D151=0,E151&gt;0),"Y","N")</f>
        <v>N</v>
      </c>
      <c r="J151" s="17" t="str">
        <f>IF(OR(H151="Y",I151="Y"),"Y","N")</f>
        <v>N</v>
      </c>
      <c r="K151" s="9"/>
      <c r="L151" s="27" t="str">
        <f>IF(LEFT(C151,3)="Not","n/a",IF(K151="","",IF(UPPER(K151)=J151,"PASS","FAIL")))</f>
        <v>n/a</v>
      </c>
      <c r="M151" s="9"/>
    </row>
    <row r="152" spans="1:13" x14ac:dyDescent="0.25">
      <c r="A152" s="17" t="s">
        <v>702</v>
      </c>
      <c r="B152" s="4" t="s">
        <v>554</v>
      </c>
      <c r="C152" s="12" t="str">
        <f>IF(D152&gt;0,"Main Actual Costs grid",IF(E152&gt;0,"Additional Expenses section","Not shown on the form"))</f>
        <v>Not shown on the form</v>
      </c>
      <c r="D152" s="24">
        <f>G28</f>
        <v>0</v>
      </c>
      <c r="E152" s="7">
        <v>0</v>
      </c>
      <c r="F152" s="29">
        <f>E152-D152</f>
        <v>0</v>
      </c>
      <c r="G152" s="30">
        <f>IF(D152&gt;0,(E152-D152)/D152,0)</f>
        <v>0</v>
      </c>
      <c r="H152" s="17" t="str">
        <f>IF(AND(D152&gt;0,E152&gt;D152*1.1),"Y","N")</f>
        <v>N</v>
      </c>
      <c r="I152" s="17" t="str">
        <f>IF(AND(D152=0,E152&gt;0),"Y","N")</f>
        <v>N</v>
      </c>
      <c r="J152" s="17" t="str">
        <f>IF(OR(H152="Y",I152="Y"),"Y","N")</f>
        <v>N</v>
      </c>
      <c r="K152" s="9"/>
      <c r="L152" s="27" t="str">
        <f>IF(LEFT(C152,3)="Not","n/a",IF(K152="","",IF(UPPER(K152)=J152,"PASS","FAIL")))</f>
        <v>n/a</v>
      </c>
      <c r="M152" s="9"/>
    </row>
    <row r="153" spans="1:13" x14ac:dyDescent="0.25">
      <c r="A153" s="17" t="s">
        <v>703</v>
      </c>
      <c r="B153" s="4" t="s">
        <v>555</v>
      </c>
      <c r="C153" s="12" t="str">
        <f>IF(D153&gt;0,"Main Actual Costs grid",IF(E153&gt;0,"Additional Expenses section","Not shown on the form"))</f>
        <v>Not shown on the form</v>
      </c>
      <c r="D153" s="24">
        <f>G29</f>
        <v>0</v>
      </c>
      <c r="E153" s="7">
        <v>0</v>
      </c>
      <c r="F153" s="29">
        <f>E153-D153</f>
        <v>0</v>
      </c>
      <c r="G153" s="30">
        <f>IF(D153&gt;0,(E153-D153)/D153,0)</f>
        <v>0</v>
      </c>
      <c r="H153" s="17" t="str">
        <f>IF(AND(D153&gt;0,E153&gt;D153*1.1),"Y","N")</f>
        <v>N</v>
      </c>
      <c r="I153" s="17" t="str">
        <f>IF(AND(D153=0,E153&gt;0),"Y","N")</f>
        <v>N</v>
      </c>
      <c r="J153" s="17" t="str">
        <f>IF(OR(H153="Y",I153="Y"),"Y","N")</f>
        <v>N</v>
      </c>
      <c r="K153" s="9"/>
      <c r="L153" s="27" t="str">
        <f>IF(LEFT(C153,3)="Not","n/a",IF(K153="","",IF(UPPER(K153)=J153,"PASS","FAIL")))</f>
        <v>n/a</v>
      </c>
      <c r="M153" s="9"/>
    </row>
    <row r="154" spans="1:13" x14ac:dyDescent="0.25">
      <c r="A154" s="17" t="s">
        <v>704</v>
      </c>
      <c r="B154" s="4" t="s">
        <v>556</v>
      </c>
      <c r="C154" s="12" t="str">
        <f>IF(D154&gt;0,"Main Actual Costs grid",IF(E154&gt;0,"Additional Expenses section","Not shown on the form"))</f>
        <v>Not shown on the form</v>
      </c>
      <c r="D154" s="24">
        <f>G30</f>
        <v>0</v>
      </c>
      <c r="E154" s="7">
        <v>0</v>
      </c>
      <c r="F154" s="29">
        <f>E154-D154</f>
        <v>0</v>
      </c>
      <c r="G154" s="30">
        <f>IF(D154&gt;0,(E154-D154)/D154,0)</f>
        <v>0</v>
      </c>
      <c r="H154" s="17" t="str">
        <f>IF(AND(D154&gt;0,E154&gt;D154*1.1),"Y","N")</f>
        <v>N</v>
      </c>
      <c r="I154" s="17" t="str">
        <f>IF(AND(D154=0,E154&gt;0),"Y","N")</f>
        <v>N</v>
      </c>
      <c r="J154" s="17" t="str">
        <f>IF(OR(H154="Y",I154="Y"),"Y","N")</f>
        <v>N</v>
      </c>
      <c r="K154" s="9"/>
      <c r="L154" s="27" t="str">
        <f>IF(LEFT(C154,3)="Not","n/a",IF(K154="","",IF(UPPER(K154)=J154,"PASS","FAIL")))</f>
        <v>n/a</v>
      </c>
      <c r="M154" s="9"/>
    </row>
    <row r="155" spans="1:13" x14ac:dyDescent="0.25">
      <c r="A155" s="17" t="s">
        <v>705</v>
      </c>
      <c r="B155" s="4" t="s">
        <v>548</v>
      </c>
      <c r="C155" s="12" t="str">
        <f>IF(D155&gt;0,"Main Actual Costs grid",IF(E155&gt;0,"Additional Expenses section","Not shown on the form"))</f>
        <v>Not shown on the form</v>
      </c>
      <c r="D155" s="24">
        <f>G23</f>
        <v>0</v>
      </c>
      <c r="E155" s="7">
        <v>0</v>
      </c>
      <c r="F155" s="29">
        <f>E155-D155</f>
        <v>0</v>
      </c>
      <c r="G155" s="30">
        <f>IF(D155&gt;0,(E155-D155)/D155,0)</f>
        <v>0</v>
      </c>
      <c r="H155" s="17" t="str">
        <f>IF(AND(D155&gt;0,E155&gt;D155*1.1),"Y","N")</f>
        <v>N</v>
      </c>
      <c r="I155" s="17" t="str">
        <f>IF(AND(D155=0,E155&gt;0),"Y","N")</f>
        <v>N</v>
      </c>
      <c r="J155" s="17" t="str">
        <f>IF(OR(H155="Y",I155="Y"),"Y","N")</f>
        <v>N</v>
      </c>
      <c r="K155" s="9"/>
      <c r="L155" s="27" t="str">
        <f>IF(LEFT(C155,3)="Not","n/a",IF(K155="","",IF(UPPER(K155)=J155,"PASS","FAIL")))</f>
        <v>n/a</v>
      </c>
      <c r="M155" s="9"/>
    </row>
    <row r="156" spans="1:13" x14ac:dyDescent="0.25">
      <c r="A156" s="17" t="s">
        <v>706</v>
      </c>
      <c r="B156" s="4" t="s">
        <v>550</v>
      </c>
      <c r="C156" s="12" t="str">
        <f>IF(D156&gt;0,"Main Actual Costs grid",IF(E156&gt;0,"Additional Expenses section","Not shown on the form"))</f>
        <v>Not shown on the form</v>
      </c>
      <c r="D156" s="24">
        <f>G24</f>
        <v>0</v>
      </c>
      <c r="E156" s="7">
        <v>0</v>
      </c>
      <c r="F156" s="29">
        <f>E156-D156</f>
        <v>0</v>
      </c>
      <c r="G156" s="30">
        <f>IF(D156&gt;0,(E156-D156)/D156,0)</f>
        <v>0</v>
      </c>
      <c r="H156" s="17" t="str">
        <f>IF(AND(D156&gt;0,E156&gt;D156*1.1),"Y","N")</f>
        <v>N</v>
      </c>
      <c r="I156" s="17" t="str">
        <f>IF(AND(D156=0,E156&gt;0),"Y","N")</f>
        <v>N</v>
      </c>
      <c r="J156" s="17" t="str">
        <f>IF(OR(H156="Y",I156="Y"),"Y","N")</f>
        <v>N</v>
      </c>
      <c r="K156" s="9"/>
      <c r="L156" s="27" t="str">
        <f>IF(LEFT(C156,3)="Not","n/a",IF(K156="","",IF(UPPER(K156)=J156,"PASS","FAIL")))</f>
        <v>n/a</v>
      </c>
      <c r="M156" s="9"/>
    </row>
    <row r="158" spans="1:6" x14ac:dyDescent="0.25">
      <c r="A158" s="16" t="s">
        <v>517</v>
      </c>
      <c r="B158" s="16" t="s">
        <v>707</v>
      </c>
      <c r="C158" s="16" t="s">
        <v>708</v>
      </c>
      <c r="D158" s="16" t="s">
        <v>709</v>
      </c>
      <c r="E158" s="16" t="s">
        <v>624</v>
      </c>
      <c r="F158" s="16" t="s">
        <v>625</v>
      </c>
    </row>
    <row r="159" spans="1:6" x14ac:dyDescent="0.25">
      <c r="A159" s="17" t="s">
        <v>710</v>
      </c>
      <c r="B159" s="4" t="s">
        <v>711</v>
      </c>
      <c r="C159" s="6" t="s">
        <v>712</v>
      </c>
      <c r="D159" s="24">
        <f>G55</f>
        <v>0</v>
      </c>
      <c r="E159" s="28"/>
      <c r="F159" s="27" t="str">
        <f>IF(E159="","",IF(ABS(E159-D159)&lt;=Setup!$C$6,"PASS","FAIL"))</f>
        <v/>
      </c>
    </row>
    <row r="160" spans="1:6" x14ac:dyDescent="0.25">
      <c r="A160" s="17" t="s">
        <v>713</v>
      </c>
      <c r="B160" s="4" t="s">
        <v>714</v>
      </c>
      <c r="C160" s="6" t="s">
        <v>715</v>
      </c>
      <c r="D160" s="24">
        <f>D142</f>
        <v>61</v>
      </c>
      <c r="E160" s="28"/>
      <c r="F160" s="27" t="str">
        <f>IF(E160="","",IF(ABS(E160-D160)&lt;=Setup!$C$6,"PASS","FAIL"))</f>
        <v/>
      </c>
    </row>
    <row r="161" spans="1:6" x14ac:dyDescent="0.25">
      <c r="A161" s="17" t="s">
        <v>716</v>
      </c>
      <c r="B161" s="4" t="s">
        <v>717</v>
      </c>
      <c r="C161" s="6" t="s">
        <v>715</v>
      </c>
      <c r="D161" s="18">
        <f>G13</f>
        <v>1</v>
      </c>
      <c r="E161" s="26"/>
      <c r="F161" s="27" t="str">
        <f>IF(E161="","",IF(ABS(E161-D161)&lt;=Setup!$C$6,"PASS","FAIL"))</f>
        <v/>
      </c>
    </row>
    <row r="162" spans="1:6" x14ac:dyDescent="0.25">
      <c r="A162" s="17" t="s">
        <v>718</v>
      </c>
      <c r="B162" s="4" t="s">
        <v>61</v>
      </c>
      <c r="C162" s="6" t="s">
        <v>719</v>
      </c>
      <c r="D162" s="18">
        <f>MAX(0,D140-D139)</f>
        <v>2</v>
      </c>
      <c r="E162" s="26"/>
      <c r="F162" s="27" t="str">
        <f>IF(E162="","",IF(ABS(E162-D162)&lt;=Setup!$C$6,"PASS","FAIL"))</f>
        <v/>
      </c>
    </row>
    <row r="163" spans="1:6" x14ac:dyDescent="0.25">
      <c r="A163" s="17" t="s">
        <v>720</v>
      </c>
      <c r="B163" s="4" t="s">
        <v>630</v>
      </c>
      <c r="C163" s="6" t="s">
        <v>64</v>
      </c>
      <c r="D163" s="24">
        <f>1.5*D142+MAX(D162-1,0)*D142</f>
        <v>152.5</v>
      </c>
      <c r="E163" s="28"/>
      <c r="F163" s="27" t="str">
        <f>IF(E163="","",IF(ABS(E163-D163)&lt;=Setup!$C$6,"PASS","FAIL"))</f>
        <v/>
      </c>
    </row>
    <row r="164" spans="1:6" x14ac:dyDescent="0.25">
      <c r="A164" s="17" t="s">
        <v>721</v>
      </c>
      <c r="B164" s="4" t="s">
        <v>722</v>
      </c>
      <c r="C164" s="6" t="s">
        <v>723</v>
      </c>
      <c r="D164" s="24">
        <f>E145+E146+E148+E147</f>
        <v>591.96</v>
      </c>
      <c r="E164" s="15"/>
      <c r="F164" s="15" t="s">
        <v>672</v>
      </c>
    </row>
    <row r="165" spans="1:6" x14ac:dyDescent="0.25">
      <c r="A165" s="17" t="s">
        <v>724</v>
      </c>
      <c r="B165" s="4" t="s">
        <v>66</v>
      </c>
      <c r="C165" s="6" t="s">
        <v>725</v>
      </c>
      <c r="D165" s="24">
        <f>D163+D164</f>
        <v>744.46</v>
      </c>
      <c r="E165" s="28"/>
      <c r="F165" s="27" t="str">
        <f>IF(E165="","",IF(ABS(E165-D165)&lt;=Setup!$C$6,"PASS","FAIL"))</f>
        <v/>
      </c>
    </row>
    <row r="166" spans="1:6" x14ac:dyDescent="0.25">
      <c r="A166" s="17" t="s">
        <v>726</v>
      </c>
      <c r="B166" s="4" t="s">
        <v>727</v>
      </c>
      <c r="C166" s="6" t="s">
        <v>579</v>
      </c>
      <c r="D166" s="24">
        <f>SUM(E149:E156)</f>
        <v>0</v>
      </c>
      <c r="E166" s="15"/>
      <c r="F166" s="15" t="s">
        <v>672</v>
      </c>
    </row>
    <row r="167" spans="1:6" x14ac:dyDescent="0.25">
      <c r="A167" s="17" t="s">
        <v>728</v>
      </c>
      <c r="B167" s="10" t="s">
        <v>68</v>
      </c>
      <c r="C167" s="6" t="s">
        <v>729</v>
      </c>
      <c r="D167" s="25">
        <f>D165*D141+D166</f>
        <v>744.46</v>
      </c>
      <c r="E167" s="28"/>
      <c r="F167" s="27" t="str">
        <f>IF(E167="","",IF(ABS(E167-D167)&lt;=Setup!$C$6,"PASS","FAIL"))</f>
        <v/>
      </c>
    </row>
    <row r="168" spans="1:6" x14ac:dyDescent="0.25">
      <c r="A168" s="17" t="s">
        <v>730</v>
      </c>
      <c r="B168" s="4" t="s">
        <v>731</v>
      </c>
      <c r="C168" s="6" t="s">
        <v>732</v>
      </c>
      <c r="D168" s="24">
        <f>G55</f>
        <v>0</v>
      </c>
      <c r="E168" s="28"/>
      <c r="F168" s="27" t="str">
        <f>IF(E168="","",IF(ABS(E168-D168)&lt;=Setup!$C$6,"PASS","FAIL"))</f>
        <v/>
      </c>
    </row>
    <row r="169" spans="1:6" x14ac:dyDescent="0.25">
      <c r="A169" s="17" t="s">
        <v>733</v>
      </c>
      <c r="B169" s="10" t="s">
        <v>734</v>
      </c>
      <c r="C169" s="6" t="s">
        <v>587</v>
      </c>
      <c r="D169" s="25">
        <f>D167+D168</f>
        <v>744.46</v>
      </c>
      <c r="E169" s="28"/>
      <c r="F169" s="27" t="str">
        <f>IF(E169="","",IF(ABS(E169-D169)&lt;=Setup!$C$6,"PASS","FAIL"))</f>
        <v/>
      </c>
    </row>
    <row r="170" spans="1:6" x14ac:dyDescent="0.25">
      <c r="A170" s="17" t="s">
        <v>735</v>
      </c>
      <c r="B170" s="4" t="s">
        <v>736</v>
      </c>
      <c r="C170" s="6" t="s">
        <v>737</v>
      </c>
      <c r="D170" s="24">
        <f>G50+G55</f>
        <v>719.46</v>
      </c>
      <c r="E170" s="15"/>
      <c r="F170" s="15" t="s">
        <v>672</v>
      </c>
    </row>
    <row r="171" spans="1:6" x14ac:dyDescent="0.25">
      <c r="A171" s="17" t="s">
        <v>738</v>
      </c>
      <c r="B171" s="10" t="s">
        <v>739</v>
      </c>
      <c r="C171" s="6" t="s">
        <v>740</v>
      </c>
      <c r="D171" s="31">
        <f>D169-D170</f>
        <v>25</v>
      </c>
      <c r="E171" s="32"/>
      <c r="F171" s="27" t="str">
        <f>IF(E171="","",IF(ABS(E171-D171)&lt;=Setup!$C$6,"PASS","FAIL"))</f>
        <v/>
      </c>
    </row>
    <row r="172" spans="1:6" x14ac:dyDescent="0.25">
      <c r="A172" s="17" t="s">
        <v>741</v>
      </c>
      <c r="B172" s="4" t="s">
        <v>742</v>
      </c>
      <c r="C172" s="6" t="s">
        <v>743</v>
      </c>
      <c r="D172" s="24">
        <f>D169</f>
        <v>744.46</v>
      </c>
      <c r="E172" s="28"/>
      <c r="F172" s="27" t="str">
        <f>IF(E172="","",IF(ABS(E172-D172)&lt;=Setup!$C$6,"PASS","FAIL"))</f>
        <v/>
      </c>
    </row>
    <row r="173" spans="1:6" x14ac:dyDescent="0.25">
      <c r="A173" s="17" t="s">
        <v>744</v>
      </c>
      <c r="B173" s="4" t="s">
        <v>745</v>
      </c>
      <c r="C173" s="6" t="s">
        <v>746</v>
      </c>
      <c r="D173" s="29">
        <f>D171</f>
        <v>25</v>
      </c>
      <c r="E173" s="32"/>
      <c r="F173" s="27" t="str">
        <f>IF(E173="","",IF(ABS(E173-D173)&lt;=Setup!$C$6,"PASS","FAIL"))</f>
        <v/>
      </c>
    </row>
    <row r="174" spans="1:6" x14ac:dyDescent="0.25">
      <c r="A174" s="17" t="s">
        <v>747</v>
      </c>
      <c r="B174" s="4" t="s">
        <v>748</v>
      </c>
      <c r="C174" s="6" t="s">
        <v>749</v>
      </c>
      <c r="D174" s="18">
        <f>COUNTIF(H145:H156,"Y")</f>
        <v>0</v>
      </c>
      <c r="E174" s="26"/>
      <c r="F174" s="27" t="str">
        <f>IF(E174="","",IF(ABS(E174-D174)&lt;=Setup!$C$6,"PASS","FAIL"))</f>
        <v/>
      </c>
    </row>
    <row r="175" spans="1:6" x14ac:dyDescent="0.25">
      <c r="A175" s="17" t="s">
        <v>750</v>
      </c>
      <c r="B175" s="4" t="s">
        <v>751</v>
      </c>
      <c r="C175" s="6" t="s">
        <v>752</v>
      </c>
      <c r="D175" s="18">
        <f>COUNTIF(I145:I156,"Y")</f>
        <v>0</v>
      </c>
      <c r="E175" s="26"/>
      <c r="F175" s="27" t="str">
        <f>IF(E175="","",IF(ABS(E175-D175)&lt;=Setup!$C$6,"PASS","FAIL"))</f>
        <v/>
      </c>
    </row>
  </sheetData>
  <mergeCells count="2">
    <mergeCell ref="A2:M2"/>
    <mergeCell ref="A3:M3"/>
  </mergeCells>
  <conditionalFormatting sqref="A1:M175">
    <cfRule type="cellIs" dxfId="60" priority="1" operator="equal">
      <formula>"PASS"</formula>
    </cfRule>
    <cfRule type="cellIs" dxfId="61" priority="2" operator="equal">
      <formula>"OK"</formula>
    </cfRule>
    <cfRule type="cellIs" dxfId="62" priority="3" operator="equal">
      <formula>"Covered"</formula>
    </cfRule>
    <cfRule type="cellIs" dxfId="63" priority="4" operator="equal">
      <formula>"FAIL"</formula>
    </cfRule>
    <cfRule type="cellIs" dxfId="64" priority="5" operator="equal">
      <formula>"CHECK"</formula>
    </cfRule>
    <cfRule type="cellIs" dxfId="65" priority="6" operator="equal">
      <formula>"GAP"</formula>
    </cfRule>
  </conditionalFormatting>
  <dataValidations count="4">
    <dataValidation type="list" allowBlank="1" sqref="K105:K116">
      <formula1>"Y,N"</formula1>
    </dataValidation>
    <dataValidation type="list" allowBlank="1" sqref="K145:K156">
      <formula1>"Y,N"</formula1>
    </dataValidation>
    <dataValidation type="list" allowBlank="1" sqref="M105:M116">
      <formula1>"Y,N"</formula1>
    </dataValidation>
    <dataValidation type="list" allowBlank="1" sqref="M145:M156">
      <formula1>"Y,N"</formula1>
    </dataValidation>
  </dataValidations>
  <pageSetup orientation="landscape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45309"/>
    <pageSetUpPr fitToPage="1"/>
  </sheetPr>
  <dimension ref="A1:Q102"/>
  <sheetViews>
    <sheetView workbookViewId="0" showGridLines="0">
      <pane ySplit="16" topLeftCell="A17" activePane="bottomLeft" state="frozen"/>
      <selection pane="bottomLeft"/>
    </sheetView>
  </sheetViews>
  <sheetFormatPr defaultRowHeight="15" outlineLevelRow="0" outlineLevelCol="0" x14ac:dyDescent="55"/>
  <cols>
    <col min="3" max="3" width="6" customWidth="1"/>
    <col min="4" max="4" width="10" customWidth="1"/>
    <col min="5" max="5" width="44" customWidth="1"/>
    <col min="6" max="6" width="30" customWidth="1"/>
    <col min="7" max="7" width="22" customWidth="1"/>
    <col min="8" max="8" width="15" customWidth="1"/>
    <col min="9" max="9" width="22" customWidth="1"/>
    <col min="10" max="10" width="15" customWidth="1"/>
    <col min="11" max="11" width="52" customWidth="1"/>
    <col min="12" max="12" width="10" customWidth="1"/>
    <col min="13" max="13" width="14" customWidth="1"/>
    <col min="14" max="15" width="10" customWidth="1"/>
    <col min="16" max="16" width="20" customWidth="1"/>
    <col min="17" max="17" width="34" customWidth="1"/>
  </cols>
  <sheetData>
    <row r="1" spans="1:1" x14ac:dyDescent="0.25">
      <c r="A1" s="1" t="s">
        <v>852</v>
      </c>
    </row>
    <row r="2" spans="1:11" x14ac:dyDescent="0.25">
      <c r="A2" s="2" t="s">
        <v>853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spans="1:5" x14ac:dyDescent="0.25">
      <c r="A4" s="16" t="s">
        <v>112</v>
      </c>
      <c r="B4" s="16" t="s">
        <v>709</v>
      </c>
      <c r="C4" s="16" t="s">
        <v>854</v>
      </c>
      <c r="D4" s="16" t="s">
        <v>855</v>
      </c>
      <c r="E4" s="16" t="s">
        <v>162</v>
      </c>
    </row>
    <row r="5" spans="1:5" x14ac:dyDescent="0.25">
      <c r="A5" s="17" t="s">
        <v>121</v>
      </c>
      <c r="B5" s="18">
        <f>COUNTIF($B$17:$B$102,A5)</f>
        <v>8</v>
      </c>
      <c r="C5" s="18">
        <f>COUNTIFS($B$17:$B$102,A5,$L$17:$L$102,"Y")</f>
        <v>0</v>
      </c>
      <c r="D5" s="26"/>
      <c r="E5" s="27" t="str">
        <f>IF(C5=0,"",IF(AND(C5=B5,D5=0),"OK","CHECK"))</f>
        <v/>
      </c>
    </row>
    <row r="6" spans="1:5" x14ac:dyDescent="0.25">
      <c r="A6" s="17" t="s">
        <v>125</v>
      </c>
      <c r="B6" s="18">
        <f>COUNTIF($B$17:$B$102,A6)</f>
        <v>8</v>
      </c>
      <c r="C6" s="18">
        <f>COUNTIFS($B$17:$B$102,A6,$L$17:$L$102,"Y")</f>
        <v>0</v>
      </c>
      <c r="D6" s="26"/>
      <c r="E6" s="27" t="str">
        <f>IF(C6=0,"",IF(AND(C6=B6,D6=0),"OK","CHECK"))</f>
        <v/>
      </c>
    </row>
    <row r="7" spans="1:5" x14ac:dyDescent="0.25">
      <c r="A7" s="17" t="s">
        <v>129</v>
      </c>
      <c r="B7" s="18">
        <f>COUNTIF($B$17:$B$102,A7)</f>
        <v>9</v>
      </c>
      <c r="C7" s="18">
        <f>COUNTIFS($B$17:$B$102,A7,$L$17:$L$102,"Y")</f>
        <v>0</v>
      </c>
      <c r="D7" s="26"/>
      <c r="E7" s="27" t="str">
        <f>IF(C7=0,"",IF(AND(C7=B7,D7=0),"OK","CHECK"))</f>
        <v/>
      </c>
    </row>
    <row r="8" spans="1:5" x14ac:dyDescent="0.25">
      <c r="A8" s="17" t="s">
        <v>133</v>
      </c>
      <c r="B8" s="18">
        <f>COUNTIF($B$17:$B$102,A8)</f>
        <v>8</v>
      </c>
      <c r="C8" s="18">
        <f>COUNTIFS($B$17:$B$102,A8,$L$17:$L$102,"Y")</f>
        <v>0</v>
      </c>
      <c r="D8" s="26"/>
      <c r="E8" s="27" t="str">
        <f>IF(C8=0,"",IF(AND(C8=B8,D8=0),"OK","CHECK"))</f>
        <v/>
      </c>
    </row>
    <row r="9" spans="1:5" x14ac:dyDescent="0.25">
      <c r="A9" s="17" t="s">
        <v>137</v>
      </c>
      <c r="B9" s="18">
        <f>COUNTIF($B$17:$B$102,A9)</f>
        <v>9</v>
      </c>
      <c r="C9" s="18">
        <f>COUNTIFS($B$17:$B$102,A9,$L$17:$L$102,"Y")</f>
        <v>0</v>
      </c>
      <c r="D9" s="26"/>
      <c r="E9" s="27" t="str">
        <f>IF(C9=0,"",IF(AND(C9=B9,D9=0),"OK","CHECK"))</f>
        <v/>
      </c>
    </row>
    <row r="10" spans="1:5" x14ac:dyDescent="0.25">
      <c r="A10" s="17" t="s">
        <v>141</v>
      </c>
      <c r="B10" s="18">
        <f>COUNTIF($B$17:$B$102,A10)</f>
        <v>8</v>
      </c>
      <c r="C10" s="18">
        <f>COUNTIFS($B$17:$B$102,A10,$L$17:$L$102,"Y")</f>
        <v>0</v>
      </c>
      <c r="D10" s="26"/>
      <c r="E10" s="27" t="str">
        <f>IF(C10=0,"",IF(AND(C10=B10,D10=0),"OK","CHECK"))</f>
        <v/>
      </c>
    </row>
    <row r="11" spans="1:5" x14ac:dyDescent="0.25">
      <c r="A11" s="17" t="s">
        <v>145</v>
      </c>
      <c r="B11" s="18">
        <f>COUNTIF($B$17:$B$102,A11)</f>
        <v>17</v>
      </c>
      <c r="C11" s="18">
        <f>COUNTIFS($B$17:$B$102,A11,$L$17:$L$102,"Y")</f>
        <v>0</v>
      </c>
      <c r="D11" s="26"/>
      <c r="E11" s="27" t="str">
        <f>IF(C11=0,"",IF(AND(C11=B11,D11=0),"OK","CHECK"))</f>
        <v/>
      </c>
    </row>
    <row r="12" spans="1:5" x14ac:dyDescent="0.25">
      <c r="A12" s="17" t="s">
        <v>149</v>
      </c>
      <c r="B12" s="18">
        <f>COUNTIF($B$17:$B$102,A12)</f>
        <v>19</v>
      </c>
      <c r="C12" s="18">
        <f>COUNTIFS($B$17:$B$102,A12,$L$17:$L$102,"Y")</f>
        <v>0</v>
      </c>
      <c r="D12" s="26"/>
      <c r="E12" s="27" t="str">
        <f>IF(C12=0,"",IF(AND(C12=B12,D12=0),"OK","CHECK"))</f>
        <v/>
      </c>
    </row>
    <row r="13" spans="1:5" x14ac:dyDescent="0.25">
      <c r="A13" s="10" t="s">
        <v>856</v>
      </c>
      <c r="B13" s="33">
        <f>SUM(B5:B12)</f>
        <v>86</v>
      </c>
      <c r="C13" s="33">
        <f>SUM(C5:C12)</f>
        <v>0</v>
      </c>
      <c r="D13" s="33">
        <f>SUM(D5:D12)</f>
        <v>0</v>
      </c>
      <c r="E13" s="4"/>
    </row>
    <row r="14" spans="1:11" x14ac:dyDescent="0.25">
      <c r="A14" s="2" t="s">
        <v>857</v>
      </c>
      <c r="B14" s="2"/>
      <c r="C14" s="2"/>
      <c r="D14" s="2"/>
      <c r="E14" s="2"/>
      <c r="F14" s="2"/>
      <c r="G14" s="2"/>
      <c r="H14" s="2"/>
      <c r="I14" s="2"/>
      <c r="J14" s="2"/>
      <c r="K14" s="2"/>
    </row>
    <row r="16" spans="1:17" x14ac:dyDescent="0.25">
      <c r="A16" s="16" t="s">
        <v>858</v>
      </c>
      <c r="B16" s="16" t="s">
        <v>112</v>
      </c>
      <c r="C16" s="16" t="s">
        <v>154</v>
      </c>
      <c r="D16" s="16" t="s">
        <v>156</v>
      </c>
      <c r="E16" s="16" t="s">
        <v>859</v>
      </c>
      <c r="F16" s="16" t="s">
        <v>860</v>
      </c>
      <c r="G16" s="16" t="s">
        <v>861</v>
      </c>
      <c r="H16" s="16" t="s">
        <v>862</v>
      </c>
      <c r="I16" s="16" t="s">
        <v>863</v>
      </c>
      <c r="J16" s="16" t="s">
        <v>864</v>
      </c>
      <c r="K16" s="16" t="s">
        <v>865</v>
      </c>
      <c r="L16" s="16" t="s">
        <v>866</v>
      </c>
      <c r="M16" s="16" t="s">
        <v>867</v>
      </c>
      <c r="N16" s="16" t="s">
        <v>868</v>
      </c>
      <c r="O16" s="16" t="s">
        <v>869</v>
      </c>
      <c r="P16" s="16" t="s">
        <v>870</v>
      </c>
      <c r="Q16" s="16" t="s">
        <v>871</v>
      </c>
    </row>
    <row r="17" spans="1:17" x14ac:dyDescent="0.25">
      <c r="A17" s="17" t="s">
        <v>872</v>
      </c>
      <c r="B17" s="17" t="s">
        <v>121</v>
      </c>
      <c r="C17" s="17">
        <v>6</v>
      </c>
      <c r="D17" s="17" t="s">
        <v>121</v>
      </c>
      <c r="E17" s="4" t="s">
        <v>873</v>
      </c>
      <c r="F17" s="6" t="s">
        <v>874</v>
      </c>
      <c r="G17" s="6" t="s">
        <v>68</v>
      </c>
      <c r="H17" s="34">
        <f>'S1'!D50</f>
        <v>894.7</v>
      </c>
      <c r="I17" s="6" t="s">
        <v>875</v>
      </c>
      <c r="J17" s="34">
        <f>'S1'!D75</f>
        <v>894.7</v>
      </c>
      <c r="K17" s="6" t="s">
        <v>876</v>
      </c>
      <c r="L17" s="9"/>
      <c r="M17" s="9"/>
      <c r="N17" s="9"/>
      <c r="O17" s="9"/>
      <c r="P17" s="9"/>
      <c r="Q17" s="9"/>
    </row>
    <row r="18" spans="1:17" x14ac:dyDescent="0.25">
      <c r="A18" s="17" t="s">
        <v>877</v>
      </c>
      <c r="B18" s="17" t="s">
        <v>121</v>
      </c>
      <c r="C18" s="17">
        <v>6</v>
      </c>
      <c r="D18" s="17" t="s">
        <v>121</v>
      </c>
      <c r="E18" s="4" t="s">
        <v>878</v>
      </c>
      <c r="F18" s="6" t="s">
        <v>879</v>
      </c>
      <c r="G18" s="6" t="s">
        <v>68</v>
      </c>
      <c r="H18" s="34">
        <f>'S1'!D50</f>
        <v>894.7</v>
      </c>
      <c r="I18" s="6" t="s">
        <v>875</v>
      </c>
      <c r="J18" s="34">
        <f>'S1'!D75</f>
        <v>894.7</v>
      </c>
      <c r="K18" s="6" t="s">
        <v>876</v>
      </c>
      <c r="L18" s="9"/>
      <c r="M18" s="9"/>
      <c r="N18" s="9"/>
      <c r="O18" s="9"/>
      <c r="P18" s="9"/>
      <c r="Q18" s="9"/>
    </row>
    <row r="19" spans="1:17" x14ac:dyDescent="0.25">
      <c r="A19" s="17" t="s">
        <v>880</v>
      </c>
      <c r="B19" s="17" t="s">
        <v>121</v>
      </c>
      <c r="C19" s="17">
        <v>9</v>
      </c>
      <c r="D19" s="17" t="s">
        <v>121</v>
      </c>
      <c r="E19" s="4" t="s">
        <v>881</v>
      </c>
      <c r="F19" s="6" t="s">
        <v>882</v>
      </c>
      <c r="G19" s="6" t="s">
        <v>74</v>
      </c>
      <c r="H19" s="34">
        <f>'S1'!D72</f>
        <v>978.37</v>
      </c>
      <c r="I19" s="6" t="s">
        <v>76</v>
      </c>
      <c r="J19" s="34">
        <f>'S1'!D73</f>
        <v>978.37</v>
      </c>
      <c r="K19" s="6" t="s">
        <v>883</v>
      </c>
      <c r="L19" s="9"/>
      <c r="M19" s="9"/>
      <c r="N19" s="9"/>
      <c r="O19" s="9"/>
      <c r="P19" s="9"/>
      <c r="Q19" s="9"/>
    </row>
    <row r="20" spans="1:17" x14ac:dyDescent="0.25">
      <c r="A20" s="17" t="s">
        <v>884</v>
      </c>
      <c r="B20" s="17" t="s">
        <v>121</v>
      </c>
      <c r="C20" s="17">
        <v>9</v>
      </c>
      <c r="D20" s="17" t="s">
        <v>121</v>
      </c>
      <c r="E20" s="4" t="s">
        <v>885</v>
      </c>
      <c r="F20" s="6" t="s">
        <v>886</v>
      </c>
      <c r="G20" s="6" t="s">
        <v>887</v>
      </c>
      <c r="H20" s="34">
        <f>'S1'!D72</f>
        <v>978.37</v>
      </c>
      <c r="I20" s="6" t="s">
        <v>888</v>
      </c>
      <c r="J20" s="34">
        <f>'S1'!D73</f>
        <v>978.37</v>
      </c>
      <c r="K20" s="6" t="s">
        <v>889</v>
      </c>
      <c r="L20" s="9"/>
      <c r="M20" s="9"/>
      <c r="N20" s="9"/>
      <c r="O20" s="9"/>
      <c r="P20" s="9"/>
      <c r="Q20" s="9"/>
    </row>
    <row r="21" spans="1:17" x14ac:dyDescent="0.25">
      <c r="A21" s="17" t="s">
        <v>202</v>
      </c>
      <c r="B21" s="17" t="s">
        <v>121</v>
      </c>
      <c r="C21" s="17">
        <v>11</v>
      </c>
      <c r="D21" s="17" t="s">
        <v>121</v>
      </c>
      <c r="E21" s="4" t="s">
        <v>890</v>
      </c>
      <c r="F21" s="6" t="s">
        <v>891</v>
      </c>
      <c r="G21" s="6"/>
      <c r="H21" s="6"/>
      <c r="I21" s="6"/>
      <c r="J21" s="6"/>
      <c r="K21" s="6" t="s">
        <v>892</v>
      </c>
      <c r="L21" s="9"/>
      <c r="M21" s="9"/>
      <c r="N21" s="9"/>
      <c r="O21" s="9"/>
      <c r="P21" s="9"/>
      <c r="Q21" s="9"/>
    </row>
    <row r="22" spans="1:17" x14ac:dyDescent="0.25">
      <c r="A22" s="17" t="s">
        <v>893</v>
      </c>
      <c r="B22" s="17" t="s">
        <v>121</v>
      </c>
      <c r="C22" s="17">
        <v>17</v>
      </c>
      <c r="D22" s="17" t="s">
        <v>121</v>
      </c>
      <c r="E22" s="4" t="s">
        <v>894</v>
      </c>
      <c r="F22" s="6" t="s">
        <v>895</v>
      </c>
      <c r="G22" s="6" t="s">
        <v>734</v>
      </c>
      <c r="H22" s="34">
        <f>'S1'!D144</f>
        <v>896</v>
      </c>
      <c r="I22" s="6" t="s">
        <v>739</v>
      </c>
      <c r="J22" s="35">
        <f>'S1'!D146</f>
        <v>1.3</v>
      </c>
      <c r="K22" s="6" t="s">
        <v>896</v>
      </c>
      <c r="L22" s="9"/>
      <c r="M22" s="9"/>
      <c r="N22" s="9"/>
      <c r="O22" s="9"/>
      <c r="P22" s="9"/>
      <c r="Q22" s="9"/>
    </row>
    <row r="23" spans="1:17" x14ac:dyDescent="0.25">
      <c r="A23" s="17" t="s">
        <v>897</v>
      </c>
      <c r="B23" s="17" t="s">
        <v>121</v>
      </c>
      <c r="C23" s="17">
        <v>17</v>
      </c>
      <c r="D23" s="17" t="s">
        <v>121</v>
      </c>
      <c r="E23" s="4" t="s">
        <v>898</v>
      </c>
      <c r="F23" s="6" t="s">
        <v>899</v>
      </c>
      <c r="G23" s="6" t="s">
        <v>734</v>
      </c>
      <c r="H23" s="34">
        <f>'S1'!D144</f>
        <v>896</v>
      </c>
      <c r="I23" s="6" t="s">
        <v>739</v>
      </c>
      <c r="J23" s="35">
        <f>'S1'!D146</f>
        <v>1.3</v>
      </c>
      <c r="K23" s="6" t="s">
        <v>896</v>
      </c>
      <c r="L23" s="9"/>
      <c r="M23" s="9"/>
      <c r="N23" s="9"/>
      <c r="O23" s="9"/>
      <c r="P23" s="9"/>
      <c r="Q23" s="9"/>
    </row>
    <row r="24" spans="1:17" x14ac:dyDescent="0.25">
      <c r="A24" s="17" t="s">
        <v>228</v>
      </c>
      <c r="B24" s="17" t="s">
        <v>121</v>
      </c>
      <c r="C24" s="17">
        <v>19</v>
      </c>
      <c r="D24" s="17" t="s">
        <v>121</v>
      </c>
      <c r="E24" s="4" t="s">
        <v>900</v>
      </c>
      <c r="F24" s="6" t="s">
        <v>901</v>
      </c>
      <c r="G24" s="6" t="s">
        <v>734</v>
      </c>
      <c r="H24" s="34">
        <f>'S1'!D144</f>
        <v>896</v>
      </c>
      <c r="I24" s="6" t="s">
        <v>739</v>
      </c>
      <c r="J24" s="35">
        <f>'S1'!D146</f>
        <v>1.3</v>
      </c>
      <c r="K24" s="6" t="s">
        <v>896</v>
      </c>
      <c r="L24" s="9"/>
      <c r="M24" s="9"/>
      <c r="N24" s="9"/>
      <c r="O24" s="9"/>
      <c r="P24" s="9"/>
      <c r="Q24" s="9"/>
    </row>
    <row r="25" spans="1:17" x14ac:dyDescent="0.25">
      <c r="A25" s="17" t="s">
        <v>902</v>
      </c>
      <c r="B25" s="17" t="s">
        <v>125</v>
      </c>
      <c r="C25" s="17">
        <v>4</v>
      </c>
      <c r="D25" s="17" t="s">
        <v>125</v>
      </c>
      <c r="E25" s="4" t="s">
        <v>903</v>
      </c>
      <c r="F25" s="6" t="s">
        <v>874</v>
      </c>
      <c r="G25" s="6" t="s">
        <v>68</v>
      </c>
      <c r="H25" s="34">
        <f>'S2'!D50</f>
        <v>2890.1</v>
      </c>
      <c r="I25" s="6" t="s">
        <v>875</v>
      </c>
      <c r="J25" s="34">
        <f>'S2'!D75</f>
        <v>2890.1</v>
      </c>
      <c r="K25" s="6" t="s">
        <v>904</v>
      </c>
      <c r="L25" s="9"/>
      <c r="M25" s="9"/>
      <c r="N25" s="9"/>
      <c r="O25" s="9"/>
      <c r="P25" s="9"/>
      <c r="Q25" s="9"/>
    </row>
    <row r="26" spans="1:17" x14ac:dyDescent="0.25">
      <c r="A26" s="17" t="s">
        <v>905</v>
      </c>
      <c r="B26" s="17" t="s">
        <v>125</v>
      </c>
      <c r="C26" s="17">
        <v>4</v>
      </c>
      <c r="D26" s="17" t="s">
        <v>125</v>
      </c>
      <c r="E26" s="4" t="s">
        <v>906</v>
      </c>
      <c r="F26" s="6" t="s">
        <v>879</v>
      </c>
      <c r="G26" s="6" t="s">
        <v>68</v>
      </c>
      <c r="H26" s="34">
        <f>'S2'!D50</f>
        <v>2890.1</v>
      </c>
      <c r="I26" s="6" t="s">
        <v>875</v>
      </c>
      <c r="J26" s="34">
        <f>'S2'!D75</f>
        <v>2890.1</v>
      </c>
      <c r="K26" s="6" t="s">
        <v>904</v>
      </c>
      <c r="L26" s="9"/>
      <c r="M26" s="9"/>
      <c r="N26" s="9"/>
      <c r="O26" s="9"/>
      <c r="P26" s="9"/>
      <c r="Q26" s="9"/>
    </row>
    <row r="27" spans="1:17" x14ac:dyDescent="0.25">
      <c r="A27" s="17" t="s">
        <v>907</v>
      </c>
      <c r="B27" s="17" t="s">
        <v>125</v>
      </c>
      <c r="C27" s="17">
        <v>7</v>
      </c>
      <c r="D27" s="17" t="s">
        <v>125</v>
      </c>
      <c r="E27" s="4" t="s">
        <v>908</v>
      </c>
      <c r="F27" s="6" t="s">
        <v>882</v>
      </c>
      <c r="G27" s="6" t="s">
        <v>74</v>
      </c>
      <c r="H27" s="34">
        <f>'S2'!D72</f>
        <v>3192.31</v>
      </c>
      <c r="I27" s="6" t="s">
        <v>76</v>
      </c>
      <c r="J27" s="34">
        <f>'S2'!D73</f>
        <v>3942.31</v>
      </c>
      <c r="K27" s="6" t="s">
        <v>883</v>
      </c>
      <c r="L27" s="9"/>
      <c r="M27" s="9"/>
      <c r="N27" s="9"/>
      <c r="O27" s="9"/>
      <c r="P27" s="9"/>
      <c r="Q27" s="9"/>
    </row>
    <row r="28" spans="1:17" x14ac:dyDescent="0.25">
      <c r="A28" s="17" t="s">
        <v>909</v>
      </c>
      <c r="B28" s="17" t="s">
        <v>125</v>
      </c>
      <c r="C28" s="17">
        <v>7</v>
      </c>
      <c r="D28" s="17" t="s">
        <v>125</v>
      </c>
      <c r="E28" s="4" t="s">
        <v>910</v>
      </c>
      <c r="F28" s="6" t="s">
        <v>886</v>
      </c>
      <c r="G28" s="6" t="s">
        <v>887</v>
      </c>
      <c r="H28" s="34">
        <f>'S2'!D72</f>
        <v>3192.31</v>
      </c>
      <c r="I28" s="6" t="s">
        <v>888</v>
      </c>
      <c r="J28" s="34">
        <f>'S2'!D73</f>
        <v>3942.31</v>
      </c>
      <c r="K28" s="6" t="s">
        <v>889</v>
      </c>
      <c r="L28" s="9"/>
      <c r="M28" s="9"/>
      <c r="N28" s="9"/>
      <c r="O28" s="9"/>
      <c r="P28" s="9"/>
      <c r="Q28" s="9"/>
    </row>
    <row r="29" spans="1:17" x14ac:dyDescent="0.25">
      <c r="A29" s="17" t="s">
        <v>255</v>
      </c>
      <c r="B29" s="17" t="s">
        <v>125</v>
      </c>
      <c r="C29" s="17">
        <v>8</v>
      </c>
      <c r="D29" s="17" t="s">
        <v>125</v>
      </c>
      <c r="E29" s="4" t="s">
        <v>911</v>
      </c>
      <c r="F29" s="6" t="s">
        <v>891</v>
      </c>
      <c r="G29" s="6"/>
      <c r="H29" s="6"/>
      <c r="I29" s="6"/>
      <c r="J29" s="6"/>
      <c r="K29" s="6" t="s">
        <v>892</v>
      </c>
      <c r="L29" s="9"/>
      <c r="M29" s="9"/>
      <c r="N29" s="9"/>
      <c r="O29" s="9"/>
      <c r="P29" s="9"/>
      <c r="Q29" s="9"/>
    </row>
    <row r="30" spans="1:17" x14ac:dyDescent="0.25">
      <c r="A30" s="17" t="s">
        <v>912</v>
      </c>
      <c r="B30" s="17" t="s">
        <v>125</v>
      </c>
      <c r="C30" s="17">
        <v>15</v>
      </c>
      <c r="D30" s="17" t="s">
        <v>125</v>
      </c>
      <c r="E30" s="4" t="s">
        <v>913</v>
      </c>
      <c r="F30" s="6" t="s">
        <v>895</v>
      </c>
      <c r="G30" s="6" t="s">
        <v>734</v>
      </c>
      <c r="H30" s="34">
        <f>'S2'!D154</f>
        <v>3978.5</v>
      </c>
      <c r="I30" s="6" t="s">
        <v>739</v>
      </c>
      <c r="J30" s="35">
        <f>'S2'!D156</f>
        <v>338.4</v>
      </c>
      <c r="K30" s="6" t="s">
        <v>896</v>
      </c>
      <c r="L30" s="9"/>
      <c r="M30" s="9"/>
      <c r="N30" s="9"/>
      <c r="O30" s="9"/>
      <c r="P30" s="9"/>
      <c r="Q30" s="9"/>
    </row>
    <row r="31" spans="1:17" x14ac:dyDescent="0.25">
      <c r="A31" s="17" t="s">
        <v>914</v>
      </c>
      <c r="B31" s="17" t="s">
        <v>125</v>
      </c>
      <c r="C31" s="17">
        <v>15</v>
      </c>
      <c r="D31" s="17" t="s">
        <v>125</v>
      </c>
      <c r="E31" s="4" t="s">
        <v>915</v>
      </c>
      <c r="F31" s="6" t="s">
        <v>899</v>
      </c>
      <c r="G31" s="6" t="s">
        <v>734</v>
      </c>
      <c r="H31" s="34">
        <f>'S2'!D154</f>
        <v>3978.5</v>
      </c>
      <c r="I31" s="6" t="s">
        <v>739</v>
      </c>
      <c r="J31" s="35">
        <f>'S2'!D156</f>
        <v>338.4</v>
      </c>
      <c r="K31" s="6" t="s">
        <v>896</v>
      </c>
      <c r="L31" s="9"/>
      <c r="M31" s="9"/>
      <c r="N31" s="9"/>
      <c r="O31" s="9"/>
      <c r="P31" s="9"/>
      <c r="Q31" s="9"/>
    </row>
    <row r="32" spans="1:17" x14ac:dyDescent="0.25">
      <c r="A32" s="17" t="s">
        <v>281</v>
      </c>
      <c r="B32" s="17" t="s">
        <v>125</v>
      </c>
      <c r="C32" s="17">
        <v>17</v>
      </c>
      <c r="D32" s="17" t="s">
        <v>125</v>
      </c>
      <c r="E32" s="4" t="s">
        <v>916</v>
      </c>
      <c r="F32" s="6" t="s">
        <v>901</v>
      </c>
      <c r="G32" s="6" t="s">
        <v>734</v>
      </c>
      <c r="H32" s="34">
        <f>'S2'!D154</f>
        <v>3978.5</v>
      </c>
      <c r="I32" s="6" t="s">
        <v>739</v>
      </c>
      <c r="J32" s="35">
        <f>'S2'!D156</f>
        <v>338.4</v>
      </c>
      <c r="K32" s="6" t="s">
        <v>896</v>
      </c>
      <c r="L32" s="9"/>
      <c r="M32" s="9"/>
      <c r="N32" s="9"/>
      <c r="O32" s="9"/>
      <c r="P32" s="9"/>
      <c r="Q32" s="9"/>
    </row>
    <row r="33" spans="1:17" x14ac:dyDescent="0.25">
      <c r="A33" s="17" t="s">
        <v>917</v>
      </c>
      <c r="B33" s="17" t="s">
        <v>129</v>
      </c>
      <c r="C33" s="17">
        <v>3</v>
      </c>
      <c r="D33" s="17" t="s">
        <v>282</v>
      </c>
      <c r="E33" s="4" t="s">
        <v>918</v>
      </c>
      <c r="F33" s="6" t="s">
        <v>874</v>
      </c>
      <c r="G33" s="6" t="s">
        <v>68</v>
      </c>
      <c r="H33" s="34">
        <f>'S3'!D53</f>
        <v>1202</v>
      </c>
      <c r="I33" s="6" t="s">
        <v>875</v>
      </c>
      <c r="J33" s="34">
        <f>'S3'!D78</f>
        <v>1202</v>
      </c>
      <c r="K33" s="6" t="s">
        <v>919</v>
      </c>
      <c r="L33" s="9"/>
      <c r="M33" s="9"/>
      <c r="N33" s="9"/>
      <c r="O33" s="9"/>
      <c r="P33" s="9"/>
      <c r="Q33" s="9"/>
    </row>
    <row r="34" spans="1:17" x14ac:dyDescent="0.25">
      <c r="A34" s="17" t="s">
        <v>920</v>
      </c>
      <c r="B34" s="17" t="s">
        <v>129</v>
      </c>
      <c r="C34" s="17">
        <v>3</v>
      </c>
      <c r="D34" s="17" t="s">
        <v>282</v>
      </c>
      <c r="E34" s="4" t="s">
        <v>921</v>
      </c>
      <c r="F34" s="6" t="s">
        <v>879</v>
      </c>
      <c r="G34" s="6" t="s">
        <v>68</v>
      </c>
      <c r="H34" s="34">
        <f>'S3'!D53</f>
        <v>1202</v>
      </c>
      <c r="I34" s="6" t="s">
        <v>875</v>
      </c>
      <c r="J34" s="34">
        <f>'S3'!D78</f>
        <v>1202</v>
      </c>
      <c r="K34" s="6" t="s">
        <v>919</v>
      </c>
      <c r="L34" s="9"/>
      <c r="M34" s="9"/>
      <c r="N34" s="9"/>
      <c r="O34" s="9"/>
      <c r="P34" s="9"/>
      <c r="Q34" s="9"/>
    </row>
    <row r="35" spans="1:17" x14ac:dyDescent="0.25">
      <c r="A35" s="17" t="s">
        <v>922</v>
      </c>
      <c r="B35" s="17" t="s">
        <v>129</v>
      </c>
      <c r="C35" s="17">
        <v>4</v>
      </c>
      <c r="D35" s="17" t="s">
        <v>282</v>
      </c>
      <c r="E35" s="4" t="s">
        <v>923</v>
      </c>
      <c r="F35" s="6" t="s">
        <v>882</v>
      </c>
      <c r="G35" s="6" t="s">
        <v>74</v>
      </c>
      <c r="H35" s="34">
        <f>'S3'!D75</f>
        <v>1324.38</v>
      </c>
      <c r="I35" s="6" t="s">
        <v>76</v>
      </c>
      <c r="J35" s="34">
        <f>'S3'!D76</f>
        <v>1324.38</v>
      </c>
      <c r="K35" s="6" t="s">
        <v>883</v>
      </c>
      <c r="L35" s="9"/>
      <c r="M35" s="9"/>
      <c r="N35" s="9"/>
      <c r="O35" s="9"/>
      <c r="P35" s="9"/>
      <c r="Q35" s="9"/>
    </row>
    <row r="36" spans="1:17" x14ac:dyDescent="0.25">
      <c r="A36" s="17" t="s">
        <v>924</v>
      </c>
      <c r="B36" s="17" t="s">
        <v>129</v>
      </c>
      <c r="C36" s="17">
        <v>4</v>
      </c>
      <c r="D36" s="17" t="s">
        <v>282</v>
      </c>
      <c r="E36" s="4" t="s">
        <v>925</v>
      </c>
      <c r="F36" s="6" t="s">
        <v>886</v>
      </c>
      <c r="G36" s="6" t="s">
        <v>887</v>
      </c>
      <c r="H36" s="34">
        <f>'S3'!D75</f>
        <v>1324.38</v>
      </c>
      <c r="I36" s="6" t="s">
        <v>888</v>
      </c>
      <c r="J36" s="34">
        <f>'S3'!D76</f>
        <v>1324.38</v>
      </c>
      <c r="K36" s="6" t="s">
        <v>889</v>
      </c>
      <c r="L36" s="9"/>
      <c r="M36" s="9"/>
      <c r="N36" s="9"/>
      <c r="O36" s="9"/>
      <c r="P36" s="9"/>
      <c r="Q36" s="9"/>
    </row>
    <row r="37" spans="1:17" x14ac:dyDescent="0.25">
      <c r="A37" s="17" t="s">
        <v>926</v>
      </c>
      <c r="B37" s="17" t="s">
        <v>129</v>
      </c>
      <c r="C37" s="17">
        <v>10</v>
      </c>
      <c r="D37" s="17" t="s">
        <v>297</v>
      </c>
      <c r="E37" s="4" t="s">
        <v>927</v>
      </c>
      <c r="F37" s="6" t="s">
        <v>874</v>
      </c>
      <c r="G37" s="6" t="s">
        <v>68</v>
      </c>
      <c r="H37" s="34">
        <f>'S3'!G53</f>
        <v>1275.05</v>
      </c>
      <c r="I37" s="6" t="s">
        <v>875</v>
      </c>
      <c r="J37" s="34">
        <f>'S3'!G78</f>
        <v>1275.05</v>
      </c>
      <c r="K37" s="6" t="s">
        <v>928</v>
      </c>
      <c r="L37" s="9"/>
      <c r="M37" s="9"/>
      <c r="N37" s="9"/>
      <c r="O37" s="9"/>
      <c r="P37" s="9"/>
      <c r="Q37" s="9"/>
    </row>
    <row r="38" spans="1:17" x14ac:dyDescent="0.25">
      <c r="A38" s="17" t="s">
        <v>929</v>
      </c>
      <c r="B38" s="17" t="s">
        <v>129</v>
      </c>
      <c r="C38" s="17">
        <v>10</v>
      </c>
      <c r="D38" s="17" t="s">
        <v>297</v>
      </c>
      <c r="E38" s="4" t="s">
        <v>930</v>
      </c>
      <c r="F38" s="6" t="s">
        <v>879</v>
      </c>
      <c r="G38" s="6" t="s">
        <v>68</v>
      </c>
      <c r="H38" s="34">
        <f>'S3'!G53</f>
        <v>1275.05</v>
      </c>
      <c r="I38" s="6" t="s">
        <v>875</v>
      </c>
      <c r="J38" s="34">
        <f>'S3'!G78</f>
        <v>1275.05</v>
      </c>
      <c r="K38" s="6" t="s">
        <v>928</v>
      </c>
      <c r="L38" s="9"/>
      <c r="M38" s="9"/>
      <c r="N38" s="9"/>
      <c r="O38" s="9"/>
      <c r="P38" s="9"/>
      <c r="Q38" s="9"/>
    </row>
    <row r="39" spans="1:17" x14ac:dyDescent="0.25">
      <c r="A39" s="17" t="s">
        <v>931</v>
      </c>
      <c r="B39" s="17" t="s">
        <v>129</v>
      </c>
      <c r="C39" s="17">
        <v>12</v>
      </c>
      <c r="D39" s="17" t="s">
        <v>297</v>
      </c>
      <c r="E39" s="4" t="s">
        <v>932</v>
      </c>
      <c r="F39" s="6" t="s">
        <v>882</v>
      </c>
      <c r="G39" s="6" t="s">
        <v>74</v>
      </c>
      <c r="H39" s="34">
        <f>'S3'!G75</f>
        <v>1406.73</v>
      </c>
      <c r="I39" s="6" t="s">
        <v>76</v>
      </c>
      <c r="J39" s="34">
        <f>'S3'!G76</f>
        <v>1666.73</v>
      </c>
      <c r="K39" s="6" t="s">
        <v>883</v>
      </c>
      <c r="L39" s="9"/>
      <c r="M39" s="9"/>
      <c r="N39" s="9"/>
      <c r="O39" s="9"/>
      <c r="P39" s="9"/>
      <c r="Q39" s="9"/>
    </row>
    <row r="40" spans="1:17" x14ac:dyDescent="0.25">
      <c r="A40" s="17" t="s">
        <v>933</v>
      </c>
      <c r="B40" s="17" t="s">
        <v>129</v>
      </c>
      <c r="C40" s="17">
        <v>12</v>
      </c>
      <c r="D40" s="17" t="s">
        <v>297</v>
      </c>
      <c r="E40" s="4" t="s">
        <v>934</v>
      </c>
      <c r="F40" s="6" t="s">
        <v>886</v>
      </c>
      <c r="G40" s="6" t="s">
        <v>887</v>
      </c>
      <c r="H40" s="34">
        <f>'S3'!G75</f>
        <v>1406.73</v>
      </c>
      <c r="I40" s="6" t="s">
        <v>888</v>
      </c>
      <c r="J40" s="34">
        <f>'S3'!G76</f>
        <v>1666.73</v>
      </c>
      <c r="K40" s="6" t="s">
        <v>889</v>
      </c>
      <c r="L40" s="9"/>
      <c r="M40" s="9"/>
      <c r="N40" s="9"/>
      <c r="O40" s="9"/>
      <c r="P40" s="9"/>
      <c r="Q40" s="9"/>
    </row>
    <row r="41" spans="1:17" x14ac:dyDescent="0.25">
      <c r="A41" s="17" t="s">
        <v>321</v>
      </c>
      <c r="B41" s="17" t="s">
        <v>129</v>
      </c>
      <c r="C41" s="17">
        <v>13</v>
      </c>
      <c r="D41" s="17" t="s">
        <v>297</v>
      </c>
      <c r="E41" s="4" t="s">
        <v>935</v>
      </c>
      <c r="F41" s="6" t="s">
        <v>891</v>
      </c>
      <c r="G41" s="6"/>
      <c r="H41" s="6"/>
      <c r="I41" s="6"/>
      <c r="J41" s="6"/>
      <c r="K41" s="6" t="s">
        <v>892</v>
      </c>
      <c r="L41" s="9"/>
      <c r="M41" s="9"/>
      <c r="N41" s="9"/>
      <c r="O41" s="9"/>
      <c r="P41" s="9"/>
      <c r="Q41" s="9"/>
    </row>
    <row r="42" spans="1:17" x14ac:dyDescent="0.25">
      <c r="A42" s="17" t="s">
        <v>936</v>
      </c>
      <c r="B42" s="17" t="s">
        <v>133</v>
      </c>
      <c r="C42" s="17">
        <v>4</v>
      </c>
      <c r="D42" s="17" t="s">
        <v>133</v>
      </c>
      <c r="E42" s="4" t="s">
        <v>937</v>
      </c>
      <c r="F42" s="6" t="s">
        <v>874</v>
      </c>
      <c r="G42" s="6" t="s">
        <v>68</v>
      </c>
      <c r="H42" s="34">
        <f>'S4'!D50</f>
        <v>15062.48</v>
      </c>
      <c r="I42" s="6" t="s">
        <v>875</v>
      </c>
      <c r="J42" s="34">
        <f>'S4'!D75</f>
        <v>15062.48</v>
      </c>
      <c r="K42" s="6" t="s">
        <v>938</v>
      </c>
      <c r="L42" s="9"/>
      <c r="M42" s="9"/>
      <c r="N42" s="9"/>
      <c r="O42" s="9"/>
      <c r="P42" s="9"/>
      <c r="Q42" s="9"/>
    </row>
    <row r="43" spans="1:17" x14ac:dyDescent="0.25">
      <c r="A43" s="17" t="s">
        <v>939</v>
      </c>
      <c r="B43" s="17" t="s">
        <v>133</v>
      </c>
      <c r="C43" s="17">
        <v>4</v>
      </c>
      <c r="D43" s="17" t="s">
        <v>133</v>
      </c>
      <c r="E43" s="4" t="s">
        <v>940</v>
      </c>
      <c r="F43" s="6" t="s">
        <v>879</v>
      </c>
      <c r="G43" s="6" t="s">
        <v>68</v>
      </c>
      <c r="H43" s="34">
        <f>'S4'!D50</f>
        <v>15062.48</v>
      </c>
      <c r="I43" s="6" t="s">
        <v>875</v>
      </c>
      <c r="J43" s="34">
        <f>'S4'!D75</f>
        <v>15062.48</v>
      </c>
      <c r="K43" s="6" t="s">
        <v>938</v>
      </c>
      <c r="L43" s="9"/>
      <c r="M43" s="9"/>
      <c r="N43" s="9"/>
      <c r="O43" s="9"/>
      <c r="P43" s="9"/>
      <c r="Q43" s="9"/>
    </row>
    <row r="44" spans="1:17" x14ac:dyDescent="0.25">
      <c r="A44" s="17" t="s">
        <v>941</v>
      </c>
      <c r="B44" s="17" t="s">
        <v>133</v>
      </c>
      <c r="C44" s="17">
        <v>6</v>
      </c>
      <c r="D44" s="17" t="s">
        <v>133</v>
      </c>
      <c r="E44" s="4" t="s">
        <v>942</v>
      </c>
      <c r="F44" s="6" t="s">
        <v>882</v>
      </c>
      <c r="G44" s="6" t="s">
        <v>74</v>
      </c>
      <c r="H44" s="34">
        <f>'S4'!D72</f>
        <v>16558.75</v>
      </c>
      <c r="I44" s="6" t="s">
        <v>76</v>
      </c>
      <c r="J44" s="34">
        <f>'S4'!D73</f>
        <v>17778.75</v>
      </c>
      <c r="K44" s="6" t="s">
        <v>883</v>
      </c>
      <c r="L44" s="9"/>
      <c r="M44" s="9"/>
      <c r="N44" s="9"/>
      <c r="O44" s="9"/>
      <c r="P44" s="9"/>
      <c r="Q44" s="9"/>
    </row>
    <row r="45" spans="1:17" x14ac:dyDescent="0.25">
      <c r="A45" s="17" t="s">
        <v>943</v>
      </c>
      <c r="B45" s="17" t="s">
        <v>133</v>
      </c>
      <c r="C45" s="17">
        <v>6</v>
      </c>
      <c r="D45" s="17" t="s">
        <v>133</v>
      </c>
      <c r="E45" s="4" t="s">
        <v>944</v>
      </c>
      <c r="F45" s="6" t="s">
        <v>886</v>
      </c>
      <c r="G45" s="6" t="s">
        <v>887</v>
      </c>
      <c r="H45" s="34">
        <f>'S4'!D72</f>
        <v>16558.75</v>
      </c>
      <c r="I45" s="6" t="s">
        <v>888</v>
      </c>
      <c r="J45" s="34">
        <f>'S4'!D73</f>
        <v>17778.75</v>
      </c>
      <c r="K45" s="6" t="s">
        <v>889</v>
      </c>
      <c r="L45" s="9"/>
      <c r="M45" s="9"/>
      <c r="N45" s="9"/>
      <c r="O45" s="9"/>
      <c r="P45" s="9"/>
      <c r="Q45" s="9"/>
    </row>
    <row r="46" spans="1:17" x14ac:dyDescent="0.25">
      <c r="A46" s="17" t="s">
        <v>341</v>
      </c>
      <c r="B46" s="17" t="s">
        <v>133</v>
      </c>
      <c r="C46" s="17">
        <v>7</v>
      </c>
      <c r="D46" s="17" t="s">
        <v>133</v>
      </c>
      <c r="E46" s="4" t="s">
        <v>945</v>
      </c>
      <c r="F46" s="6" t="s">
        <v>891</v>
      </c>
      <c r="G46" s="6"/>
      <c r="H46" s="6"/>
      <c r="I46" s="6"/>
      <c r="J46" s="6"/>
      <c r="K46" s="6" t="s">
        <v>892</v>
      </c>
      <c r="L46" s="9"/>
      <c r="M46" s="9"/>
      <c r="N46" s="9"/>
      <c r="O46" s="9"/>
      <c r="P46" s="9"/>
      <c r="Q46" s="9"/>
    </row>
    <row r="47" spans="1:17" x14ac:dyDescent="0.25">
      <c r="A47" s="17" t="s">
        <v>946</v>
      </c>
      <c r="B47" s="17" t="s">
        <v>133</v>
      </c>
      <c r="C47" s="17">
        <v>10</v>
      </c>
      <c r="D47" s="17" t="s">
        <v>133</v>
      </c>
      <c r="E47" s="4" t="s">
        <v>947</v>
      </c>
      <c r="F47" s="6" t="s">
        <v>895</v>
      </c>
      <c r="G47" s="6" t="s">
        <v>734</v>
      </c>
      <c r="H47" s="34">
        <f>'S4'!D152</f>
        <v>16507.5</v>
      </c>
      <c r="I47" s="6" t="s">
        <v>739</v>
      </c>
      <c r="J47" s="35">
        <f>'S4'!D154</f>
        <v>225.02</v>
      </c>
      <c r="K47" s="6" t="s">
        <v>896</v>
      </c>
      <c r="L47" s="9"/>
      <c r="M47" s="9"/>
      <c r="N47" s="9"/>
      <c r="O47" s="9"/>
      <c r="P47" s="9"/>
      <c r="Q47" s="9"/>
    </row>
    <row r="48" spans="1:17" x14ac:dyDescent="0.25">
      <c r="A48" s="17" t="s">
        <v>948</v>
      </c>
      <c r="B48" s="17" t="s">
        <v>133</v>
      </c>
      <c r="C48" s="17">
        <v>10</v>
      </c>
      <c r="D48" s="17" t="s">
        <v>133</v>
      </c>
      <c r="E48" s="4" t="s">
        <v>949</v>
      </c>
      <c r="F48" s="6" t="s">
        <v>899</v>
      </c>
      <c r="G48" s="6" t="s">
        <v>734</v>
      </c>
      <c r="H48" s="34">
        <f>'S4'!D152</f>
        <v>16507.5</v>
      </c>
      <c r="I48" s="6" t="s">
        <v>739</v>
      </c>
      <c r="J48" s="35">
        <f>'S4'!D154</f>
        <v>225.02</v>
      </c>
      <c r="K48" s="6" t="s">
        <v>896</v>
      </c>
      <c r="L48" s="9"/>
      <c r="M48" s="9"/>
      <c r="N48" s="9"/>
      <c r="O48" s="9"/>
      <c r="P48" s="9"/>
      <c r="Q48" s="9"/>
    </row>
    <row r="49" spans="1:17" x14ac:dyDescent="0.25">
      <c r="A49" s="17" t="s">
        <v>354</v>
      </c>
      <c r="B49" s="17" t="s">
        <v>133</v>
      </c>
      <c r="C49" s="17">
        <v>11</v>
      </c>
      <c r="D49" s="17" t="s">
        <v>133</v>
      </c>
      <c r="E49" s="4" t="s">
        <v>950</v>
      </c>
      <c r="F49" s="6" t="s">
        <v>901</v>
      </c>
      <c r="G49" s="6" t="s">
        <v>734</v>
      </c>
      <c r="H49" s="34">
        <f>'S4'!D152</f>
        <v>16507.5</v>
      </c>
      <c r="I49" s="6" t="s">
        <v>739</v>
      </c>
      <c r="J49" s="35">
        <f>'S4'!D154</f>
        <v>225.02</v>
      </c>
      <c r="K49" s="6" t="s">
        <v>896</v>
      </c>
      <c r="L49" s="9"/>
      <c r="M49" s="9"/>
      <c r="N49" s="9"/>
      <c r="O49" s="9"/>
      <c r="P49" s="9"/>
      <c r="Q49" s="9"/>
    </row>
    <row r="50" spans="1:17" x14ac:dyDescent="0.25">
      <c r="A50" s="17" t="s">
        <v>951</v>
      </c>
      <c r="B50" s="17" t="s">
        <v>137</v>
      </c>
      <c r="C50" s="17">
        <v>3</v>
      </c>
      <c r="D50" s="17" t="s">
        <v>355</v>
      </c>
      <c r="E50" s="4" t="s">
        <v>952</v>
      </c>
      <c r="F50" s="6" t="s">
        <v>874</v>
      </c>
      <c r="G50" s="6" t="s">
        <v>68</v>
      </c>
      <c r="H50" s="34">
        <f>'S5'!D50</f>
        <v>543.92</v>
      </c>
      <c r="I50" s="6" t="s">
        <v>875</v>
      </c>
      <c r="J50" s="34">
        <f>'S5'!D75</f>
        <v>543.92</v>
      </c>
      <c r="K50" s="6" t="s">
        <v>953</v>
      </c>
      <c r="L50" s="9"/>
      <c r="M50" s="9"/>
      <c r="N50" s="9"/>
      <c r="O50" s="9"/>
      <c r="P50" s="9"/>
      <c r="Q50" s="9"/>
    </row>
    <row r="51" spans="1:17" x14ac:dyDescent="0.25">
      <c r="A51" s="17" t="s">
        <v>954</v>
      </c>
      <c r="B51" s="17" t="s">
        <v>137</v>
      </c>
      <c r="C51" s="17">
        <v>3</v>
      </c>
      <c r="D51" s="17" t="s">
        <v>355</v>
      </c>
      <c r="E51" s="4" t="s">
        <v>955</v>
      </c>
      <c r="F51" s="6" t="s">
        <v>879</v>
      </c>
      <c r="G51" s="6" t="s">
        <v>68</v>
      </c>
      <c r="H51" s="34">
        <f>'S5'!D50</f>
        <v>543.92</v>
      </c>
      <c r="I51" s="6" t="s">
        <v>875</v>
      </c>
      <c r="J51" s="34">
        <f>'S5'!D75</f>
        <v>543.92</v>
      </c>
      <c r="K51" s="6" t="s">
        <v>953</v>
      </c>
      <c r="L51" s="9"/>
      <c r="M51" s="9"/>
      <c r="N51" s="9"/>
      <c r="O51" s="9"/>
      <c r="P51" s="9"/>
      <c r="Q51" s="9"/>
    </row>
    <row r="52" spans="1:17" x14ac:dyDescent="0.25">
      <c r="A52" s="17" t="s">
        <v>956</v>
      </c>
      <c r="B52" s="17" t="s">
        <v>137</v>
      </c>
      <c r="C52" s="17">
        <v>4</v>
      </c>
      <c r="D52" s="17" t="s">
        <v>355</v>
      </c>
      <c r="E52" s="4" t="s">
        <v>957</v>
      </c>
      <c r="F52" s="6" t="s">
        <v>882</v>
      </c>
      <c r="G52" s="6" t="s">
        <v>74</v>
      </c>
      <c r="H52" s="34">
        <f>'S5'!D72</f>
        <v>600.99</v>
      </c>
      <c r="I52" s="6" t="s">
        <v>76</v>
      </c>
      <c r="J52" s="34">
        <f>'S5'!D73</f>
        <v>840.99</v>
      </c>
      <c r="K52" s="6" t="s">
        <v>883</v>
      </c>
      <c r="L52" s="9"/>
      <c r="M52" s="9"/>
      <c r="N52" s="9"/>
      <c r="O52" s="9"/>
      <c r="P52" s="9"/>
      <c r="Q52" s="9"/>
    </row>
    <row r="53" spans="1:17" x14ac:dyDescent="0.25">
      <c r="A53" s="17" t="s">
        <v>958</v>
      </c>
      <c r="B53" s="17" t="s">
        <v>137</v>
      </c>
      <c r="C53" s="17">
        <v>4</v>
      </c>
      <c r="D53" s="17" t="s">
        <v>355</v>
      </c>
      <c r="E53" s="4" t="s">
        <v>959</v>
      </c>
      <c r="F53" s="6" t="s">
        <v>886</v>
      </c>
      <c r="G53" s="6" t="s">
        <v>887</v>
      </c>
      <c r="H53" s="34">
        <f>'S5'!D72</f>
        <v>600.99</v>
      </c>
      <c r="I53" s="6" t="s">
        <v>888</v>
      </c>
      <c r="J53" s="34">
        <f>'S5'!D73</f>
        <v>840.99</v>
      </c>
      <c r="K53" s="6" t="s">
        <v>889</v>
      </c>
      <c r="L53" s="9"/>
      <c r="M53" s="9"/>
      <c r="N53" s="9"/>
      <c r="O53" s="9"/>
      <c r="P53" s="9"/>
      <c r="Q53" s="9"/>
    </row>
    <row r="54" spans="1:17" x14ac:dyDescent="0.25">
      <c r="A54" s="17" t="s">
        <v>369</v>
      </c>
      <c r="B54" s="17" t="s">
        <v>137</v>
      </c>
      <c r="C54" s="17">
        <v>5</v>
      </c>
      <c r="D54" s="17" t="s">
        <v>355</v>
      </c>
      <c r="E54" s="4" t="s">
        <v>960</v>
      </c>
      <c r="F54" s="6" t="s">
        <v>891</v>
      </c>
      <c r="G54" s="6"/>
      <c r="H54" s="6"/>
      <c r="I54" s="6"/>
      <c r="J54" s="6"/>
      <c r="K54" s="6" t="s">
        <v>892</v>
      </c>
      <c r="L54" s="9"/>
      <c r="M54" s="9"/>
      <c r="N54" s="9"/>
      <c r="O54" s="9"/>
      <c r="P54" s="9"/>
      <c r="Q54" s="9"/>
    </row>
    <row r="55" spans="1:17" x14ac:dyDescent="0.25">
      <c r="A55" s="17" t="s">
        <v>961</v>
      </c>
      <c r="B55" s="17" t="s">
        <v>137</v>
      </c>
      <c r="C55" s="17">
        <v>7</v>
      </c>
      <c r="D55" s="17" t="s">
        <v>370</v>
      </c>
      <c r="E55" s="4" t="s">
        <v>962</v>
      </c>
      <c r="F55" s="6" t="s">
        <v>874</v>
      </c>
      <c r="G55" s="6" t="s">
        <v>68</v>
      </c>
      <c r="H55" s="34">
        <f>'S5'!G50</f>
        <v>136</v>
      </c>
      <c r="I55" s="6" t="s">
        <v>875</v>
      </c>
      <c r="J55" s="34">
        <f>'S5'!G75</f>
        <v>136</v>
      </c>
      <c r="K55" s="6" t="s">
        <v>963</v>
      </c>
      <c r="L55" s="9"/>
      <c r="M55" s="9"/>
      <c r="N55" s="9"/>
      <c r="O55" s="9"/>
      <c r="P55" s="9"/>
      <c r="Q55" s="9"/>
    </row>
    <row r="56" spans="1:17" x14ac:dyDescent="0.25">
      <c r="A56" s="17" t="s">
        <v>964</v>
      </c>
      <c r="B56" s="17" t="s">
        <v>137</v>
      </c>
      <c r="C56" s="17">
        <v>7</v>
      </c>
      <c r="D56" s="17" t="s">
        <v>370</v>
      </c>
      <c r="E56" s="4" t="s">
        <v>965</v>
      </c>
      <c r="F56" s="6" t="s">
        <v>879</v>
      </c>
      <c r="G56" s="6" t="s">
        <v>68</v>
      </c>
      <c r="H56" s="34">
        <f>'S5'!G50</f>
        <v>136</v>
      </c>
      <c r="I56" s="6" t="s">
        <v>875</v>
      </c>
      <c r="J56" s="34">
        <f>'S5'!G75</f>
        <v>136</v>
      </c>
      <c r="K56" s="6" t="s">
        <v>963</v>
      </c>
      <c r="L56" s="9"/>
      <c r="M56" s="9"/>
      <c r="N56" s="9"/>
      <c r="O56" s="9"/>
      <c r="P56" s="9"/>
      <c r="Q56" s="9"/>
    </row>
    <row r="57" spans="1:17" x14ac:dyDescent="0.25">
      <c r="A57" s="17" t="s">
        <v>966</v>
      </c>
      <c r="B57" s="17" t="s">
        <v>137</v>
      </c>
      <c r="C57" s="17">
        <v>8</v>
      </c>
      <c r="D57" s="17" t="s">
        <v>370</v>
      </c>
      <c r="E57" s="4" t="s">
        <v>967</v>
      </c>
      <c r="F57" s="6" t="s">
        <v>882</v>
      </c>
      <c r="G57" s="6" t="s">
        <v>74</v>
      </c>
      <c r="H57" s="34">
        <f>'S5'!G72</f>
        <v>141.1</v>
      </c>
      <c r="I57" s="6" t="s">
        <v>76</v>
      </c>
      <c r="J57" s="34">
        <f>'S5'!G73</f>
        <v>141.1</v>
      </c>
      <c r="K57" s="6" t="s">
        <v>883</v>
      </c>
      <c r="L57" s="9"/>
      <c r="M57" s="9"/>
      <c r="N57" s="9"/>
      <c r="O57" s="9"/>
      <c r="P57" s="9"/>
      <c r="Q57" s="9"/>
    </row>
    <row r="58" spans="1:17" x14ac:dyDescent="0.25">
      <c r="A58" s="17" t="s">
        <v>968</v>
      </c>
      <c r="B58" s="17" t="s">
        <v>137</v>
      </c>
      <c r="C58" s="17">
        <v>8</v>
      </c>
      <c r="D58" s="17" t="s">
        <v>370</v>
      </c>
      <c r="E58" s="4" t="s">
        <v>969</v>
      </c>
      <c r="F58" s="6" t="s">
        <v>886</v>
      </c>
      <c r="G58" s="6" t="s">
        <v>887</v>
      </c>
      <c r="H58" s="34">
        <f>'S5'!G72</f>
        <v>141.1</v>
      </c>
      <c r="I58" s="6" t="s">
        <v>888</v>
      </c>
      <c r="J58" s="34">
        <f>'S5'!G73</f>
        <v>141.1</v>
      </c>
      <c r="K58" s="6" t="s">
        <v>889</v>
      </c>
      <c r="L58" s="9"/>
      <c r="M58" s="9"/>
      <c r="N58" s="9"/>
      <c r="O58" s="9"/>
      <c r="P58" s="9"/>
      <c r="Q58" s="9"/>
    </row>
    <row r="59" spans="1:17" x14ac:dyDescent="0.25">
      <c r="A59" s="17" t="s">
        <v>970</v>
      </c>
      <c r="B59" s="17" t="s">
        <v>141</v>
      </c>
      <c r="C59" s="17">
        <v>9</v>
      </c>
      <c r="D59" s="17" t="s">
        <v>379</v>
      </c>
      <c r="E59" s="4" t="s">
        <v>971</v>
      </c>
      <c r="F59" s="6" t="s">
        <v>874</v>
      </c>
      <c r="G59" s="6" t="s">
        <v>68</v>
      </c>
      <c r="H59" s="34">
        <f>'S6'!D50</f>
        <v>2993.92</v>
      </c>
      <c r="I59" s="6" t="s">
        <v>875</v>
      </c>
      <c r="J59" s="34">
        <f>'S6'!D75</f>
        <v>2993.92</v>
      </c>
      <c r="K59" s="6" t="s">
        <v>972</v>
      </c>
      <c r="L59" s="9"/>
      <c r="M59" s="9"/>
      <c r="N59" s="9"/>
      <c r="O59" s="9"/>
      <c r="P59" s="9"/>
      <c r="Q59" s="9"/>
    </row>
    <row r="60" spans="1:17" x14ac:dyDescent="0.25">
      <c r="A60" s="17" t="s">
        <v>973</v>
      </c>
      <c r="B60" s="17" t="s">
        <v>141</v>
      </c>
      <c r="C60" s="17">
        <v>9</v>
      </c>
      <c r="D60" s="17" t="s">
        <v>379</v>
      </c>
      <c r="E60" s="4" t="s">
        <v>974</v>
      </c>
      <c r="F60" s="6" t="s">
        <v>879</v>
      </c>
      <c r="G60" s="6" t="s">
        <v>68</v>
      </c>
      <c r="H60" s="34">
        <f>'S6'!D50</f>
        <v>2993.92</v>
      </c>
      <c r="I60" s="6" t="s">
        <v>875</v>
      </c>
      <c r="J60" s="34">
        <f>'S6'!D75</f>
        <v>2993.92</v>
      </c>
      <c r="K60" s="6" t="s">
        <v>972</v>
      </c>
      <c r="L60" s="9"/>
      <c r="M60" s="9"/>
      <c r="N60" s="9"/>
      <c r="O60" s="9"/>
      <c r="P60" s="9"/>
      <c r="Q60" s="9"/>
    </row>
    <row r="61" spans="1:17" x14ac:dyDescent="0.25">
      <c r="A61" s="17" t="s">
        <v>412</v>
      </c>
      <c r="B61" s="17" t="s">
        <v>141</v>
      </c>
      <c r="C61" s="17">
        <v>11</v>
      </c>
      <c r="D61" s="17" t="s">
        <v>379</v>
      </c>
      <c r="E61" s="4" t="s">
        <v>975</v>
      </c>
      <c r="F61" s="6" t="s">
        <v>976</v>
      </c>
      <c r="G61" s="6" t="s">
        <v>977</v>
      </c>
      <c r="H61" s="6" t="s">
        <v>978</v>
      </c>
      <c r="I61" s="6"/>
      <c r="J61" s="6"/>
      <c r="K61" s="6" t="s">
        <v>979</v>
      </c>
      <c r="L61" s="9"/>
      <c r="M61" s="9"/>
      <c r="N61" s="9"/>
      <c r="O61" s="9"/>
      <c r="P61" s="9"/>
      <c r="Q61" s="9"/>
    </row>
    <row r="62" spans="1:17" x14ac:dyDescent="0.25">
      <c r="A62" s="17" t="s">
        <v>980</v>
      </c>
      <c r="B62" s="17" t="s">
        <v>141</v>
      </c>
      <c r="C62" s="17">
        <v>13</v>
      </c>
      <c r="D62" s="17" t="s">
        <v>413</v>
      </c>
      <c r="E62" s="4" t="s">
        <v>971</v>
      </c>
      <c r="F62" s="6" t="s">
        <v>874</v>
      </c>
      <c r="G62" s="6" t="s">
        <v>68</v>
      </c>
      <c r="H62" s="34">
        <f>'S6'!G50</f>
        <v>2737.92</v>
      </c>
      <c r="I62" s="6" t="s">
        <v>875</v>
      </c>
      <c r="J62" s="34">
        <f>'S6'!G75</f>
        <v>3187.92</v>
      </c>
      <c r="K62" s="6" t="s">
        <v>981</v>
      </c>
      <c r="L62" s="9"/>
      <c r="M62" s="9"/>
      <c r="N62" s="9"/>
      <c r="O62" s="9"/>
      <c r="P62" s="9"/>
      <c r="Q62" s="9"/>
    </row>
    <row r="63" spans="1:17" x14ac:dyDescent="0.25">
      <c r="A63" s="17" t="s">
        <v>982</v>
      </c>
      <c r="B63" s="17" t="s">
        <v>141</v>
      </c>
      <c r="C63" s="17">
        <v>13</v>
      </c>
      <c r="D63" s="17" t="s">
        <v>413</v>
      </c>
      <c r="E63" s="4" t="s">
        <v>974</v>
      </c>
      <c r="F63" s="6" t="s">
        <v>879</v>
      </c>
      <c r="G63" s="6" t="s">
        <v>68</v>
      </c>
      <c r="H63" s="34">
        <f>'S6'!G50</f>
        <v>2737.92</v>
      </c>
      <c r="I63" s="6" t="s">
        <v>875</v>
      </c>
      <c r="J63" s="34">
        <f>'S6'!G75</f>
        <v>3187.92</v>
      </c>
      <c r="K63" s="6" t="s">
        <v>981</v>
      </c>
      <c r="L63" s="9"/>
      <c r="M63" s="9"/>
      <c r="N63" s="9"/>
      <c r="O63" s="9"/>
      <c r="P63" s="9"/>
      <c r="Q63" s="9"/>
    </row>
    <row r="64" spans="1:17" x14ac:dyDescent="0.25">
      <c r="A64" s="17" t="s">
        <v>983</v>
      </c>
      <c r="B64" s="17" t="s">
        <v>141</v>
      </c>
      <c r="C64" s="17">
        <v>14</v>
      </c>
      <c r="D64" s="17" t="s">
        <v>413</v>
      </c>
      <c r="E64" s="4" t="s">
        <v>984</v>
      </c>
      <c r="F64" s="6" t="s">
        <v>882</v>
      </c>
      <c r="G64" s="6" t="s">
        <v>74</v>
      </c>
      <c r="H64" s="34">
        <f>'S6'!G72</f>
        <v>3023.43</v>
      </c>
      <c r="I64" s="6" t="s">
        <v>76</v>
      </c>
      <c r="J64" s="34">
        <f>'S6'!G73</f>
        <v>3473.43</v>
      </c>
      <c r="K64" s="6" t="s">
        <v>883</v>
      </c>
      <c r="L64" s="9"/>
      <c r="M64" s="9"/>
      <c r="N64" s="9"/>
      <c r="O64" s="9"/>
      <c r="P64" s="9"/>
      <c r="Q64" s="9"/>
    </row>
    <row r="65" spans="1:17" x14ac:dyDescent="0.25">
      <c r="A65" s="17" t="s">
        <v>985</v>
      </c>
      <c r="B65" s="17" t="s">
        <v>141</v>
      </c>
      <c r="C65" s="17">
        <v>14</v>
      </c>
      <c r="D65" s="17" t="s">
        <v>413</v>
      </c>
      <c r="E65" s="4" t="s">
        <v>986</v>
      </c>
      <c r="F65" s="6" t="s">
        <v>886</v>
      </c>
      <c r="G65" s="6" t="s">
        <v>887</v>
      </c>
      <c r="H65" s="34">
        <f>'S6'!G72</f>
        <v>3023.43</v>
      </c>
      <c r="I65" s="6" t="s">
        <v>888</v>
      </c>
      <c r="J65" s="34">
        <f>'S6'!G73</f>
        <v>3473.43</v>
      </c>
      <c r="K65" s="6" t="s">
        <v>889</v>
      </c>
      <c r="L65" s="9"/>
      <c r="M65" s="9"/>
      <c r="N65" s="9"/>
      <c r="O65" s="9"/>
      <c r="P65" s="9"/>
      <c r="Q65" s="9"/>
    </row>
    <row r="66" spans="1:17" x14ac:dyDescent="0.25">
      <c r="A66" s="17" t="s">
        <v>425</v>
      </c>
      <c r="B66" s="17" t="s">
        <v>141</v>
      </c>
      <c r="C66" s="17">
        <v>15</v>
      </c>
      <c r="D66" s="17" t="s">
        <v>413</v>
      </c>
      <c r="E66" s="4" t="s">
        <v>987</v>
      </c>
      <c r="F66" s="6" t="s">
        <v>891</v>
      </c>
      <c r="G66" s="6"/>
      <c r="H66" s="6"/>
      <c r="I66" s="6"/>
      <c r="J66" s="6"/>
      <c r="K66" s="6" t="s">
        <v>892</v>
      </c>
      <c r="L66" s="9"/>
      <c r="M66" s="9"/>
      <c r="N66" s="9"/>
      <c r="O66" s="9"/>
      <c r="P66" s="9"/>
      <c r="Q66" s="9"/>
    </row>
    <row r="67" spans="1:17" x14ac:dyDescent="0.25">
      <c r="A67" s="17" t="s">
        <v>988</v>
      </c>
      <c r="B67" s="17" t="s">
        <v>145</v>
      </c>
      <c r="C67" s="17">
        <v>1</v>
      </c>
      <c r="D67" s="17" t="s">
        <v>426</v>
      </c>
      <c r="E67" s="4" t="s">
        <v>989</v>
      </c>
      <c r="F67" s="6" t="s">
        <v>874</v>
      </c>
      <c r="G67" s="6" t="s">
        <v>68</v>
      </c>
      <c r="H67" s="34">
        <f>'S7'!D50</f>
        <v>696.14</v>
      </c>
      <c r="I67" s="6" t="s">
        <v>875</v>
      </c>
      <c r="J67" s="34">
        <f>'S7'!D75</f>
        <v>696.14</v>
      </c>
      <c r="K67" s="6" t="s">
        <v>990</v>
      </c>
      <c r="L67" s="9"/>
      <c r="M67" s="9"/>
      <c r="N67" s="9"/>
      <c r="O67" s="9"/>
      <c r="P67" s="9"/>
      <c r="Q67" s="9"/>
    </row>
    <row r="68" spans="1:17" x14ac:dyDescent="0.25">
      <c r="A68" s="17" t="s">
        <v>991</v>
      </c>
      <c r="B68" s="17" t="s">
        <v>145</v>
      </c>
      <c r="C68" s="17">
        <v>1</v>
      </c>
      <c r="D68" s="17" t="s">
        <v>426</v>
      </c>
      <c r="E68" s="4" t="s">
        <v>992</v>
      </c>
      <c r="F68" s="6" t="s">
        <v>879</v>
      </c>
      <c r="G68" s="6" t="s">
        <v>68</v>
      </c>
      <c r="H68" s="34">
        <f>'S7'!D50</f>
        <v>696.14</v>
      </c>
      <c r="I68" s="6" t="s">
        <v>875</v>
      </c>
      <c r="J68" s="34">
        <f>'S7'!D75</f>
        <v>696.14</v>
      </c>
      <c r="K68" s="6" t="s">
        <v>990</v>
      </c>
      <c r="L68" s="9"/>
      <c r="M68" s="9"/>
      <c r="N68" s="9"/>
      <c r="O68" s="9"/>
      <c r="P68" s="9"/>
      <c r="Q68" s="9"/>
    </row>
    <row r="69" spans="1:17" x14ac:dyDescent="0.25">
      <c r="A69" s="17" t="s">
        <v>433</v>
      </c>
      <c r="B69" s="17" t="s">
        <v>145</v>
      </c>
      <c r="C69" s="17">
        <v>2</v>
      </c>
      <c r="D69" s="17" t="s">
        <v>426</v>
      </c>
      <c r="E69" s="4" t="s">
        <v>993</v>
      </c>
      <c r="F69" s="6" t="s">
        <v>994</v>
      </c>
      <c r="G69" s="6" t="s">
        <v>977</v>
      </c>
      <c r="H69" s="6" t="s">
        <v>995</v>
      </c>
      <c r="I69" s="6"/>
      <c r="J69" s="6"/>
      <c r="K69" s="6" t="s">
        <v>979</v>
      </c>
      <c r="L69" s="9"/>
      <c r="M69" s="9"/>
      <c r="N69" s="9"/>
      <c r="O69" s="9"/>
      <c r="P69" s="9"/>
      <c r="Q69" s="9"/>
    </row>
    <row r="70" spans="1:17" x14ac:dyDescent="0.25">
      <c r="A70" s="17" t="s">
        <v>996</v>
      </c>
      <c r="B70" s="17" t="s">
        <v>145</v>
      </c>
      <c r="C70" s="17">
        <v>4</v>
      </c>
      <c r="D70" s="17" t="s">
        <v>437</v>
      </c>
      <c r="E70" s="4" t="s">
        <v>997</v>
      </c>
      <c r="F70" s="6" t="s">
        <v>874</v>
      </c>
      <c r="G70" s="6" t="s">
        <v>68</v>
      </c>
      <c r="H70" s="34">
        <f>'S7'!G50</f>
        <v>722.14</v>
      </c>
      <c r="I70" s="6" t="s">
        <v>875</v>
      </c>
      <c r="J70" s="34">
        <f>'S7'!G75</f>
        <v>722.14</v>
      </c>
      <c r="K70" s="6" t="s">
        <v>998</v>
      </c>
      <c r="L70" s="9"/>
      <c r="M70" s="9"/>
      <c r="N70" s="9"/>
      <c r="O70" s="9"/>
      <c r="P70" s="9"/>
      <c r="Q70" s="9"/>
    </row>
    <row r="71" spans="1:17" x14ac:dyDescent="0.25">
      <c r="A71" s="17" t="s">
        <v>999</v>
      </c>
      <c r="B71" s="17" t="s">
        <v>145</v>
      </c>
      <c r="C71" s="17">
        <v>4</v>
      </c>
      <c r="D71" s="17" t="s">
        <v>437</v>
      </c>
      <c r="E71" s="4" t="s">
        <v>1000</v>
      </c>
      <c r="F71" s="6" t="s">
        <v>879</v>
      </c>
      <c r="G71" s="6" t="s">
        <v>68</v>
      </c>
      <c r="H71" s="34">
        <f>'S7'!G50</f>
        <v>722.14</v>
      </c>
      <c r="I71" s="6" t="s">
        <v>875</v>
      </c>
      <c r="J71" s="34">
        <f>'S7'!G75</f>
        <v>722.14</v>
      </c>
      <c r="K71" s="6" t="s">
        <v>998</v>
      </c>
      <c r="L71" s="9"/>
      <c r="M71" s="9"/>
      <c r="N71" s="9"/>
      <c r="O71" s="9"/>
      <c r="P71" s="9"/>
      <c r="Q71" s="9"/>
    </row>
    <row r="72" spans="1:17" x14ac:dyDescent="0.25">
      <c r="A72" s="17" t="s">
        <v>1001</v>
      </c>
      <c r="B72" s="17" t="s">
        <v>145</v>
      </c>
      <c r="C72" s="17">
        <v>5</v>
      </c>
      <c r="D72" s="17" t="s">
        <v>437</v>
      </c>
      <c r="E72" s="4" t="s">
        <v>1002</v>
      </c>
      <c r="F72" s="6" t="s">
        <v>882</v>
      </c>
      <c r="G72" s="6" t="s">
        <v>74</v>
      </c>
      <c r="H72" s="34">
        <f>'S7'!G72</f>
        <v>795.35</v>
      </c>
      <c r="I72" s="6" t="s">
        <v>76</v>
      </c>
      <c r="J72" s="34">
        <f>'S7'!G73</f>
        <v>795.35</v>
      </c>
      <c r="K72" s="6" t="s">
        <v>883</v>
      </c>
      <c r="L72" s="9"/>
      <c r="M72" s="9"/>
      <c r="N72" s="9"/>
      <c r="O72" s="9"/>
      <c r="P72" s="9"/>
      <c r="Q72" s="9"/>
    </row>
    <row r="73" spans="1:17" x14ac:dyDescent="0.25">
      <c r="A73" s="17" t="s">
        <v>1003</v>
      </c>
      <c r="B73" s="17" t="s">
        <v>145</v>
      </c>
      <c r="C73" s="17">
        <v>5</v>
      </c>
      <c r="D73" s="17" t="s">
        <v>437</v>
      </c>
      <c r="E73" s="4" t="s">
        <v>1004</v>
      </c>
      <c r="F73" s="6" t="s">
        <v>886</v>
      </c>
      <c r="G73" s="6" t="s">
        <v>887</v>
      </c>
      <c r="H73" s="34">
        <f>'S7'!G72</f>
        <v>795.35</v>
      </c>
      <c r="I73" s="6" t="s">
        <v>888</v>
      </c>
      <c r="J73" s="34">
        <f>'S7'!G73</f>
        <v>795.35</v>
      </c>
      <c r="K73" s="6" t="s">
        <v>889</v>
      </c>
      <c r="L73" s="9"/>
      <c r="M73" s="9"/>
      <c r="N73" s="9"/>
      <c r="O73" s="9"/>
      <c r="P73" s="9"/>
      <c r="Q73" s="9"/>
    </row>
    <row r="74" spans="1:17" x14ac:dyDescent="0.25">
      <c r="A74" s="17" t="s">
        <v>445</v>
      </c>
      <c r="B74" s="17" t="s">
        <v>145</v>
      </c>
      <c r="C74" s="17">
        <v>6</v>
      </c>
      <c r="D74" s="17" t="s">
        <v>437</v>
      </c>
      <c r="E74" s="4" t="s">
        <v>1005</v>
      </c>
      <c r="F74" s="6" t="s">
        <v>1006</v>
      </c>
      <c r="G74" s="6" t="s">
        <v>977</v>
      </c>
      <c r="H74" s="6" t="s">
        <v>1007</v>
      </c>
      <c r="I74" s="6"/>
      <c r="J74" s="6"/>
      <c r="K74" s="6" t="s">
        <v>1008</v>
      </c>
      <c r="L74" s="9"/>
      <c r="M74" s="9"/>
      <c r="N74" s="9"/>
      <c r="O74" s="9"/>
      <c r="P74" s="9"/>
      <c r="Q74" s="9"/>
    </row>
    <row r="75" spans="1:17" x14ac:dyDescent="0.25">
      <c r="A75" s="17" t="s">
        <v>1009</v>
      </c>
      <c r="B75" s="17" t="s">
        <v>145</v>
      </c>
      <c r="C75" s="17">
        <v>7</v>
      </c>
      <c r="D75" s="17" t="s">
        <v>437</v>
      </c>
      <c r="E75" s="4" t="s">
        <v>1010</v>
      </c>
      <c r="F75" s="6" t="s">
        <v>874</v>
      </c>
      <c r="G75" s="6" t="s">
        <v>68</v>
      </c>
      <c r="H75" s="34">
        <f>'S7'!G50</f>
        <v>722.14</v>
      </c>
      <c r="I75" s="6" t="s">
        <v>875</v>
      </c>
      <c r="J75" s="34">
        <f>'S7'!G75</f>
        <v>722.14</v>
      </c>
      <c r="K75" s="6" t="s">
        <v>1011</v>
      </c>
      <c r="L75" s="9"/>
      <c r="M75" s="9"/>
      <c r="N75" s="9"/>
      <c r="O75" s="9"/>
      <c r="P75" s="9"/>
      <c r="Q75" s="9"/>
    </row>
    <row r="76" spans="1:17" x14ac:dyDescent="0.25">
      <c r="A76" s="17" t="s">
        <v>1012</v>
      </c>
      <c r="B76" s="17" t="s">
        <v>145</v>
      </c>
      <c r="C76" s="17">
        <v>7</v>
      </c>
      <c r="D76" s="17" t="s">
        <v>437</v>
      </c>
      <c r="E76" s="4" t="s">
        <v>1013</v>
      </c>
      <c r="F76" s="6" t="s">
        <v>879</v>
      </c>
      <c r="G76" s="6" t="s">
        <v>68</v>
      </c>
      <c r="H76" s="34">
        <f>'S7'!G50</f>
        <v>722.14</v>
      </c>
      <c r="I76" s="6" t="s">
        <v>875</v>
      </c>
      <c r="J76" s="34">
        <f>'S7'!G75</f>
        <v>722.14</v>
      </c>
      <c r="K76" s="6" t="s">
        <v>1011</v>
      </c>
      <c r="L76" s="9"/>
      <c r="M76" s="9"/>
      <c r="N76" s="9"/>
      <c r="O76" s="9"/>
      <c r="P76" s="9"/>
      <c r="Q76" s="9"/>
    </row>
    <row r="77" spans="1:17" x14ac:dyDescent="0.25">
      <c r="A77" s="17" t="s">
        <v>1014</v>
      </c>
      <c r="B77" s="17" t="s">
        <v>145</v>
      </c>
      <c r="C77" s="17">
        <v>8</v>
      </c>
      <c r="D77" s="17" t="s">
        <v>437</v>
      </c>
      <c r="E77" s="4" t="s">
        <v>1002</v>
      </c>
      <c r="F77" s="6" t="s">
        <v>882</v>
      </c>
      <c r="G77" s="6" t="s">
        <v>74</v>
      </c>
      <c r="H77" s="34">
        <f>'S7'!G72</f>
        <v>795.35</v>
      </c>
      <c r="I77" s="6" t="s">
        <v>76</v>
      </c>
      <c r="J77" s="34">
        <f>'S7'!G73</f>
        <v>795.35</v>
      </c>
      <c r="K77" s="6" t="s">
        <v>1015</v>
      </c>
      <c r="L77" s="9"/>
      <c r="M77" s="9"/>
      <c r="N77" s="9"/>
      <c r="O77" s="9"/>
      <c r="P77" s="9"/>
      <c r="Q77" s="9"/>
    </row>
    <row r="78" spans="1:17" x14ac:dyDescent="0.25">
      <c r="A78" s="17" t="s">
        <v>1016</v>
      </c>
      <c r="B78" s="17" t="s">
        <v>145</v>
      </c>
      <c r="C78" s="17">
        <v>8</v>
      </c>
      <c r="D78" s="17" t="s">
        <v>437</v>
      </c>
      <c r="E78" s="4" t="s">
        <v>1004</v>
      </c>
      <c r="F78" s="6" t="s">
        <v>886</v>
      </c>
      <c r="G78" s="6" t="s">
        <v>887</v>
      </c>
      <c r="H78" s="34">
        <f>'S7'!G72</f>
        <v>795.35</v>
      </c>
      <c r="I78" s="6" t="s">
        <v>888</v>
      </c>
      <c r="J78" s="34">
        <f>'S7'!G73</f>
        <v>795.35</v>
      </c>
      <c r="K78" s="6" t="s">
        <v>1017</v>
      </c>
      <c r="L78" s="9"/>
      <c r="M78" s="9"/>
      <c r="N78" s="9"/>
      <c r="O78" s="9"/>
      <c r="P78" s="9"/>
      <c r="Q78" s="9"/>
    </row>
    <row r="79" spans="1:17" x14ac:dyDescent="0.25">
      <c r="A79" s="17" t="s">
        <v>456</v>
      </c>
      <c r="B79" s="17" t="s">
        <v>145</v>
      </c>
      <c r="C79" s="17">
        <v>9</v>
      </c>
      <c r="D79" s="17" t="s">
        <v>437</v>
      </c>
      <c r="E79" s="4" t="s">
        <v>1018</v>
      </c>
      <c r="F79" s="6" t="s">
        <v>1019</v>
      </c>
      <c r="G79" s="6" t="s">
        <v>977</v>
      </c>
      <c r="H79" s="6" t="s">
        <v>1020</v>
      </c>
      <c r="I79" s="6"/>
      <c r="J79" s="6"/>
      <c r="K79" s="6" t="s">
        <v>1008</v>
      </c>
      <c r="L79" s="9"/>
      <c r="M79" s="9"/>
      <c r="N79" s="9"/>
      <c r="O79" s="9"/>
      <c r="P79" s="9"/>
      <c r="Q79" s="9"/>
    </row>
    <row r="80" spans="1:17" x14ac:dyDescent="0.25">
      <c r="A80" s="17" t="s">
        <v>464</v>
      </c>
      <c r="B80" s="17" t="s">
        <v>145</v>
      </c>
      <c r="C80" s="17">
        <v>11</v>
      </c>
      <c r="D80" s="17" t="s">
        <v>460</v>
      </c>
      <c r="E80" s="4" t="s">
        <v>1021</v>
      </c>
      <c r="F80" s="6" t="s">
        <v>1022</v>
      </c>
      <c r="G80" s="6"/>
      <c r="H80" s="6"/>
      <c r="I80" s="6"/>
      <c r="J80" s="6"/>
      <c r="K80" s="6" t="s">
        <v>1023</v>
      </c>
      <c r="L80" s="9"/>
      <c r="M80" s="9"/>
      <c r="N80" s="9"/>
      <c r="O80" s="9"/>
      <c r="P80" s="9"/>
      <c r="Q80" s="9"/>
    </row>
    <row r="81" spans="1:17" x14ac:dyDescent="0.25">
      <c r="A81" s="17" t="s">
        <v>1024</v>
      </c>
      <c r="B81" s="17" t="s">
        <v>145</v>
      </c>
      <c r="C81" s="17">
        <v>12</v>
      </c>
      <c r="D81" s="17" t="s">
        <v>465</v>
      </c>
      <c r="E81" s="4" t="s">
        <v>1025</v>
      </c>
      <c r="F81" s="6" t="s">
        <v>874</v>
      </c>
      <c r="G81" s="6" t="s">
        <v>68</v>
      </c>
      <c r="H81" s="34">
        <f>'S7'!M50</f>
        <v>686.14</v>
      </c>
      <c r="I81" s="6" t="s">
        <v>875</v>
      </c>
      <c r="J81" s="34">
        <f>'S7'!M75</f>
        <v>686.14</v>
      </c>
      <c r="K81" s="6" t="s">
        <v>1026</v>
      </c>
      <c r="L81" s="9"/>
      <c r="M81" s="9"/>
      <c r="N81" s="9"/>
      <c r="O81" s="9"/>
      <c r="P81" s="9"/>
      <c r="Q81" s="9"/>
    </row>
    <row r="82" spans="1:17" x14ac:dyDescent="0.25">
      <c r="A82" s="17" t="s">
        <v>1027</v>
      </c>
      <c r="B82" s="17" t="s">
        <v>145</v>
      </c>
      <c r="C82" s="17">
        <v>12</v>
      </c>
      <c r="D82" s="17" t="s">
        <v>465</v>
      </c>
      <c r="E82" s="4" t="s">
        <v>1028</v>
      </c>
      <c r="F82" s="6" t="s">
        <v>879</v>
      </c>
      <c r="G82" s="6" t="s">
        <v>68</v>
      </c>
      <c r="H82" s="34">
        <f>'S7'!M50</f>
        <v>686.14</v>
      </c>
      <c r="I82" s="6" t="s">
        <v>875</v>
      </c>
      <c r="J82" s="34">
        <f>'S7'!M75</f>
        <v>686.14</v>
      </c>
      <c r="K82" s="6" t="s">
        <v>1026</v>
      </c>
      <c r="L82" s="9"/>
      <c r="M82" s="9"/>
      <c r="N82" s="9"/>
      <c r="O82" s="9"/>
      <c r="P82" s="9"/>
      <c r="Q82" s="9"/>
    </row>
    <row r="83" spans="1:17" x14ac:dyDescent="0.25">
      <c r="A83" s="17" t="s">
        <v>1029</v>
      </c>
      <c r="B83" s="17" t="s">
        <v>145</v>
      </c>
      <c r="C83" s="17">
        <v>12</v>
      </c>
      <c r="D83" s="17" t="s">
        <v>465</v>
      </c>
      <c r="E83" s="4" t="s">
        <v>1030</v>
      </c>
      <c r="F83" s="6" t="s">
        <v>1022</v>
      </c>
      <c r="G83" s="6"/>
      <c r="H83" s="6"/>
      <c r="I83" s="6"/>
      <c r="J83" s="6"/>
      <c r="K83" s="6" t="s">
        <v>1023</v>
      </c>
      <c r="L83" s="9"/>
      <c r="M83" s="9"/>
      <c r="N83" s="9"/>
      <c r="O83" s="9"/>
      <c r="P83" s="9"/>
      <c r="Q83" s="9"/>
    </row>
    <row r="84" spans="1:17" x14ac:dyDescent="0.25">
      <c r="A84" s="17" t="s">
        <v>1031</v>
      </c>
      <c r="B84" s="17" t="s">
        <v>149</v>
      </c>
      <c r="C84" s="17">
        <v>1</v>
      </c>
      <c r="D84" s="17" t="s">
        <v>473</v>
      </c>
      <c r="E84" s="4" t="s">
        <v>1032</v>
      </c>
      <c r="F84" s="6" t="s">
        <v>874</v>
      </c>
      <c r="G84" s="6" t="s">
        <v>68</v>
      </c>
      <c r="H84" s="34">
        <f>'S8'!D50</f>
        <v>694.46</v>
      </c>
      <c r="I84" s="6" t="s">
        <v>875</v>
      </c>
      <c r="J84" s="34">
        <f>'S8'!D75</f>
        <v>694.46</v>
      </c>
      <c r="K84" s="6" t="s">
        <v>1033</v>
      </c>
      <c r="L84" s="9"/>
      <c r="M84" s="9"/>
      <c r="N84" s="9"/>
      <c r="O84" s="9"/>
      <c r="P84" s="9"/>
      <c r="Q84" s="9"/>
    </row>
    <row r="85" spans="1:17" x14ac:dyDescent="0.25">
      <c r="A85" s="17" t="s">
        <v>1034</v>
      </c>
      <c r="B85" s="17" t="s">
        <v>149</v>
      </c>
      <c r="C85" s="17">
        <v>1</v>
      </c>
      <c r="D85" s="17" t="s">
        <v>473</v>
      </c>
      <c r="E85" s="4" t="s">
        <v>1035</v>
      </c>
      <c r="F85" s="6" t="s">
        <v>879</v>
      </c>
      <c r="G85" s="6" t="s">
        <v>68</v>
      </c>
      <c r="H85" s="34">
        <f>'S8'!D50</f>
        <v>694.46</v>
      </c>
      <c r="I85" s="6" t="s">
        <v>875</v>
      </c>
      <c r="J85" s="34">
        <f>'S8'!D75</f>
        <v>694.46</v>
      </c>
      <c r="K85" s="6" t="s">
        <v>1033</v>
      </c>
      <c r="L85" s="9"/>
      <c r="M85" s="9"/>
      <c r="N85" s="9"/>
      <c r="O85" s="9"/>
      <c r="P85" s="9"/>
      <c r="Q85" s="9"/>
    </row>
    <row r="86" spans="1:17" x14ac:dyDescent="0.25">
      <c r="A86" s="17" t="s">
        <v>1036</v>
      </c>
      <c r="B86" s="17" t="s">
        <v>149</v>
      </c>
      <c r="C86" s="17">
        <v>2</v>
      </c>
      <c r="D86" s="17" t="s">
        <v>473</v>
      </c>
      <c r="E86" s="4" t="s">
        <v>1037</v>
      </c>
      <c r="F86" s="6" t="s">
        <v>882</v>
      </c>
      <c r="G86" s="6" t="s">
        <v>74</v>
      </c>
      <c r="H86" s="34">
        <f>'S8'!D72</f>
        <v>763.5</v>
      </c>
      <c r="I86" s="6" t="s">
        <v>76</v>
      </c>
      <c r="J86" s="34">
        <f>'S8'!D73</f>
        <v>763.5</v>
      </c>
      <c r="K86" s="6" t="s">
        <v>883</v>
      </c>
      <c r="L86" s="9"/>
      <c r="M86" s="9"/>
      <c r="N86" s="9"/>
      <c r="O86" s="9"/>
      <c r="P86" s="9"/>
      <c r="Q86" s="9"/>
    </row>
    <row r="87" spans="1:17" x14ac:dyDescent="0.25">
      <c r="A87" s="17" t="s">
        <v>1038</v>
      </c>
      <c r="B87" s="17" t="s">
        <v>149</v>
      </c>
      <c r="C87" s="17">
        <v>2</v>
      </c>
      <c r="D87" s="17" t="s">
        <v>473</v>
      </c>
      <c r="E87" s="4" t="s">
        <v>1039</v>
      </c>
      <c r="F87" s="6" t="s">
        <v>886</v>
      </c>
      <c r="G87" s="6" t="s">
        <v>887</v>
      </c>
      <c r="H87" s="34">
        <f>'S8'!D72</f>
        <v>763.5</v>
      </c>
      <c r="I87" s="6" t="s">
        <v>888</v>
      </c>
      <c r="J87" s="34">
        <f>'S8'!D73</f>
        <v>763.5</v>
      </c>
      <c r="K87" s="6" t="s">
        <v>889</v>
      </c>
      <c r="L87" s="9"/>
      <c r="M87" s="9"/>
      <c r="N87" s="9"/>
      <c r="O87" s="9"/>
      <c r="P87" s="9"/>
      <c r="Q87" s="9"/>
    </row>
    <row r="88" spans="1:17" x14ac:dyDescent="0.25">
      <c r="A88" s="17" t="s">
        <v>481</v>
      </c>
      <c r="B88" s="17" t="s">
        <v>149</v>
      </c>
      <c r="C88" s="17">
        <v>3</v>
      </c>
      <c r="D88" s="17" t="s">
        <v>473</v>
      </c>
      <c r="E88" s="4" t="s">
        <v>1040</v>
      </c>
      <c r="F88" s="6" t="s">
        <v>891</v>
      </c>
      <c r="G88" s="6"/>
      <c r="H88" s="6"/>
      <c r="I88" s="6"/>
      <c r="J88" s="6"/>
      <c r="K88" s="6" t="s">
        <v>892</v>
      </c>
      <c r="L88" s="9"/>
      <c r="M88" s="9"/>
      <c r="N88" s="9"/>
      <c r="O88" s="9"/>
      <c r="P88" s="9"/>
      <c r="Q88" s="9"/>
    </row>
    <row r="89" spans="1:17" x14ac:dyDescent="0.25">
      <c r="A89" s="17" t="s">
        <v>1041</v>
      </c>
      <c r="B89" s="17" t="s">
        <v>149</v>
      </c>
      <c r="C89" s="17">
        <v>4</v>
      </c>
      <c r="D89" s="17" t="s">
        <v>482</v>
      </c>
      <c r="E89" s="4" t="s">
        <v>1042</v>
      </c>
      <c r="F89" s="6" t="s">
        <v>874</v>
      </c>
      <c r="G89" s="6" t="s">
        <v>68</v>
      </c>
      <c r="H89" s="34">
        <f>'S8'!G50</f>
        <v>719.46</v>
      </c>
      <c r="I89" s="6" t="s">
        <v>875</v>
      </c>
      <c r="J89" s="34">
        <f>'S8'!G75</f>
        <v>719.46</v>
      </c>
      <c r="K89" s="6" t="s">
        <v>1043</v>
      </c>
      <c r="L89" s="9"/>
      <c r="M89" s="9"/>
      <c r="N89" s="9"/>
      <c r="O89" s="9"/>
      <c r="P89" s="9"/>
      <c r="Q89" s="9"/>
    </row>
    <row r="90" spans="1:17" x14ac:dyDescent="0.25">
      <c r="A90" s="17" t="s">
        <v>1044</v>
      </c>
      <c r="B90" s="17" t="s">
        <v>149</v>
      </c>
      <c r="C90" s="17">
        <v>4</v>
      </c>
      <c r="D90" s="17" t="s">
        <v>482</v>
      </c>
      <c r="E90" s="4" t="s">
        <v>1045</v>
      </c>
      <c r="F90" s="6" t="s">
        <v>879</v>
      </c>
      <c r="G90" s="6" t="s">
        <v>68</v>
      </c>
      <c r="H90" s="34">
        <f>'S8'!G50</f>
        <v>719.46</v>
      </c>
      <c r="I90" s="6" t="s">
        <v>875</v>
      </c>
      <c r="J90" s="34">
        <f>'S8'!G75</f>
        <v>719.46</v>
      </c>
      <c r="K90" s="6" t="s">
        <v>1043</v>
      </c>
      <c r="L90" s="9"/>
      <c r="M90" s="9"/>
      <c r="N90" s="9"/>
      <c r="O90" s="9"/>
      <c r="P90" s="9"/>
      <c r="Q90" s="9"/>
    </row>
    <row r="91" spans="1:17" x14ac:dyDescent="0.25">
      <c r="A91" s="17" t="s">
        <v>1046</v>
      </c>
      <c r="B91" s="17" t="s">
        <v>149</v>
      </c>
      <c r="C91" s="17">
        <v>5</v>
      </c>
      <c r="D91" s="17" t="s">
        <v>482</v>
      </c>
      <c r="E91" s="4" t="s">
        <v>1047</v>
      </c>
      <c r="F91" s="6" t="s">
        <v>882</v>
      </c>
      <c r="G91" s="6" t="s">
        <v>74</v>
      </c>
      <c r="H91" s="34">
        <f>'S8'!G72</f>
        <v>791.69</v>
      </c>
      <c r="I91" s="6" t="s">
        <v>76</v>
      </c>
      <c r="J91" s="34">
        <f>'S8'!G73</f>
        <v>791.69</v>
      </c>
      <c r="K91" s="6" t="s">
        <v>883</v>
      </c>
      <c r="L91" s="9"/>
      <c r="M91" s="9"/>
      <c r="N91" s="9"/>
      <c r="O91" s="9"/>
      <c r="P91" s="9"/>
      <c r="Q91" s="9"/>
    </row>
    <row r="92" spans="1:17" x14ac:dyDescent="0.25">
      <c r="A92" s="17" t="s">
        <v>1048</v>
      </c>
      <c r="B92" s="17" t="s">
        <v>149</v>
      </c>
      <c r="C92" s="17">
        <v>5</v>
      </c>
      <c r="D92" s="17" t="s">
        <v>482</v>
      </c>
      <c r="E92" s="4" t="s">
        <v>1049</v>
      </c>
      <c r="F92" s="6" t="s">
        <v>886</v>
      </c>
      <c r="G92" s="6" t="s">
        <v>887</v>
      </c>
      <c r="H92" s="34">
        <f>'S8'!G72</f>
        <v>791.69</v>
      </c>
      <c r="I92" s="6" t="s">
        <v>888</v>
      </c>
      <c r="J92" s="34">
        <f>'S8'!G73</f>
        <v>791.69</v>
      </c>
      <c r="K92" s="6" t="s">
        <v>889</v>
      </c>
      <c r="L92" s="9"/>
      <c r="M92" s="9"/>
      <c r="N92" s="9"/>
      <c r="O92" s="9"/>
      <c r="P92" s="9"/>
      <c r="Q92" s="9"/>
    </row>
    <row r="93" spans="1:17" x14ac:dyDescent="0.25">
      <c r="A93" s="17" t="s">
        <v>487</v>
      </c>
      <c r="B93" s="17" t="s">
        <v>149</v>
      </c>
      <c r="C93" s="17">
        <v>6</v>
      </c>
      <c r="D93" s="17" t="s">
        <v>482</v>
      </c>
      <c r="E93" s="4" t="s">
        <v>1050</v>
      </c>
      <c r="F93" s="6" t="s">
        <v>891</v>
      </c>
      <c r="G93" s="6"/>
      <c r="H93" s="6"/>
      <c r="I93" s="6"/>
      <c r="J93" s="6"/>
      <c r="K93" s="6" t="s">
        <v>892</v>
      </c>
      <c r="L93" s="9"/>
      <c r="M93" s="9"/>
      <c r="N93" s="9"/>
      <c r="O93" s="9"/>
      <c r="P93" s="9"/>
      <c r="Q93" s="9"/>
    </row>
    <row r="94" spans="1:17" x14ac:dyDescent="0.25">
      <c r="A94" s="17" t="s">
        <v>1051</v>
      </c>
      <c r="B94" s="17" t="s">
        <v>149</v>
      </c>
      <c r="C94" s="17">
        <v>7</v>
      </c>
      <c r="D94" s="17" t="s">
        <v>473</v>
      </c>
      <c r="E94" s="4" t="s">
        <v>1052</v>
      </c>
      <c r="F94" s="6" t="s">
        <v>895</v>
      </c>
      <c r="G94" s="6" t="s">
        <v>734</v>
      </c>
      <c r="H94" s="34">
        <f>'S8'!D129</f>
        <v>694.46</v>
      </c>
      <c r="I94" s="6" t="s">
        <v>739</v>
      </c>
      <c r="J94" s="35">
        <f>'S8'!D131</f>
        <v>0</v>
      </c>
      <c r="K94" s="6" t="s">
        <v>896</v>
      </c>
      <c r="L94" s="9"/>
      <c r="M94" s="9"/>
      <c r="N94" s="9"/>
      <c r="O94" s="9"/>
      <c r="P94" s="9"/>
      <c r="Q94" s="9"/>
    </row>
    <row r="95" spans="1:17" x14ac:dyDescent="0.25">
      <c r="A95" s="17" t="s">
        <v>1053</v>
      </c>
      <c r="B95" s="17" t="s">
        <v>149</v>
      </c>
      <c r="C95" s="17">
        <v>7</v>
      </c>
      <c r="D95" s="17" t="s">
        <v>473</v>
      </c>
      <c r="E95" s="4" t="s">
        <v>1054</v>
      </c>
      <c r="F95" s="6" t="s">
        <v>899</v>
      </c>
      <c r="G95" s="6" t="s">
        <v>734</v>
      </c>
      <c r="H95" s="34">
        <f>'S8'!D129</f>
        <v>694.46</v>
      </c>
      <c r="I95" s="6" t="s">
        <v>739</v>
      </c>
      <c r="J95" s="35">
        <f>'S8'!D131</f>
        <v>0</v>
      </c>
      <c r="K95" s="6" t="s">
        <v>896</v>
      </c>
      <c r="L95" s="9"/>
      <c r="M95" s="9"/>
      <c r="N95" s="9"/>
      <c r="O95" s="9"/>
      <c r="P95" s="9"/>
      <c r="Q95" s="9"/>
    </row>
    <row r="96" spans="1:17" x14ac:dyDescent="0.25">
      <c r="A96" s="17" t="s">
        <v>495</v>
      </c>
      <c r="B96" s="17" t="s">
        <v>149</v>
      </c>
      <c r="C96" s="17">
        <v>8</v>
      </c>
      <c r="D96" s="17" t="s">
        <v>473</v>
      </c>
      <c r="E96" s="4" t="s">
        <v>1055</v>
      </c>
      <c r="F96" s="6" t="s">
        <v>1056</v>
      </c>
      <c r="G96" s="6" t="s">
        <v>977</v>
      </c>
      <c r="H96" s="6" t="s">
        <v>1057</v>
      </c>
      <c r="I96" s="6"/>
      <c r="J96" s="6"/>
      <c r="K96" s="6" t="s">
        <v>1008</v>
      </c>
      <c r="L96" s="9"/>
      <c r="M96" s="9"/>
      <c r="N96" s="9"/>
      <c r="O96" s="9"/>
      <c r="P96" s="9"/>
      <c r="Q96" s="9"/>
    </row>
    <row r="97" spans="1:17" x14ac:dyDescent="0.25">
      <c r="A97" s="17" t="s">
        <v>1058</v>
      </c>
      <c r="B97" s="17" t="s">
        <v>149</v>
      </c>
      <c r="C97" s="17">
        <v>9</v>
      </c>
      <c r="D97" s="17" t="s">
        <v>473</v>
      </c>
      <c r="E97" s="4" t="s">
        <v>1052</v>
      </c>
      <c r="F97" s="6" t="s">
        <v>895</v>
      </c>
      <c r="G97" s="6" t="s">
        <v>734</v>
      </c>
      <c r="H97" s="34">
        <f>'S8'!D129</f>
        <v>694.46</v>
      </c>
      <c r="I97" s="6" t="s">
        <v>739</v>
      </c>
      <c r="J97" s="35">
        <f>'S8'!D131</f>
        <v>0</v>
      </c>
      <c r="K97" s="6" t="s">
        <v>896</v>
      </c>
      <c r="L97" s="9"/>
      <c r="M97" s="9"/>
      <c r="N97" s="9"/>
      <c r="O97" s="9"/>
      <c r="P97" s="9"/>
      <c r="Q97" s="9"/>
    </row>
    <row r="98" spans="1:17" x14ac:dyDescent="0.25">
      <c r="A98" s="17" t="s">
        <v>1059</v>
      </c>
      <c r="B98" s="17" t="s">
        <v>149</v>
      </c>
      <c r="C98" s="17">
        <v>9</v>
      </c>
      <c r="D98" s="17" t="s">
        <v>473</v>
      </c>
      <c r="E98" s="4" t="s">
        <v>1054</v>
      </c>
      <c r="F98" s="6" t="s">
        <v>899</v>
      </c>
      <c r="G98" s="6" t="s">
        <v>734</v>
      </c>
      <c r="H98" s="34">
        <f>'S8'!D129</f>
        <v>694.46</v>
      </c>
      <c r="I98" s="6" t="s">
        <v>739</v>
      </c>
      <c r="J98" s="35">
        <f>'S8'!D131</f>
        <v>0</v>
      </c>
      <c r="K98" s="6" t="s">
        <v>896</v>
      </c>
      <c r="L98" s="9"/>
      <c r="M98" s="9"/>
      <c r="N98" s="9"/>
      <c r="O98" s="9"/>
      <c r="P98" s="9"/>
      <c r="Q98" s="9"/>
    </row>
    <row r="99" spans="1:17" x14ac:dyDescent="0.25">
      <c r="A99" s="17" t="s">
        <v>502</v>
      </c>
      <c r="B99" s="17" t="s">
        <v>149</v>
      </c>
      <c r="C99" s="17">
        <v>10</v>
      </c>
      <c r="D99" s="17" t="s">
        <v>473</v>
      </c>
      <c r="E99" s="4" t="s">
        <v>1060</v>
      </c>
      <c r="F99" s="6" t="s">
        <v>901</v>
      </c>
      <c r="G99" s="6" t="s">
        <v>734</v>
      </c>
      <c r="H99" s="34">
        <f>'S8'!D129</f>
        <v>694.46</v>
      </c>
      <c r="I99" s="6" t="s">
        <v>739</v>
      </c>
      <c r="J99" s="35">
        <f>'S8'!D131</f>
        <v>0</v>
      </c>
      <c r="K99" s="6" t="s">
        <v>896</v>
      </c>
      <c r="L99" s="9"/>
      <c r="M99" s="9"/>
      <c r="N99" s="9"/>
      <c r="O99" s="9"/>
      <c r="P99" s="9"/>
      <c r="Q99" s="9"/>
    </row>
    <row r="100" spans="1:17" x14ac:dyDescent="0.25">
      <c r="A100" s="17" t="s">
        <v>1061</v>
      </c>
      <c r="B100" s="17" t="s">
        <v>149</v>
      </c>
      <c r="C100" s="17">
        <v>11</v>
      </c>
      <c r="D100" s="17" t="s">
        <v>482</v>
      </c>
      <c r="E100" s="4" t="s">
        <v>1062</v>
      </c>
      <c r="F100" s="6" t="s">
        <v>895</v>
      </c>
      <c r="G100" s="6" t="s">
        <v>734</v>
      </c>
      <c r="H100" s="34">
        <f>'S8'!D169</f>
        <v>744.46</v>
      </c>
      <c r="I100" s="6" t="s">
        <v>739</v>
      </c>
      <c r="J100" s="35">
        <f>'S8'!D171</f>
        <v>25</v>
      </c>
      <c r="K100" s="6" t="s">
        <v>896</v>
      </c>
      <c r="L100" s="9"/>
      <c r="M100" s="9"/>
      <c r="N100" s="9"/>
      <c r="O100" s="9"/>
      <c r="P100" s="9"/>
      <c r="Q100" s="9"/>
    </row>
    <row r="101" spans="1:17" x14ac:dyDescent="0.25">
      <c r="A101" s="17" t="s">
        <v>1063</v>
      </c>
      <c r="B101" s="17" t="s">
        <v>149</v>
      </c>
      <c r="C101" s="17">
        <v>11</v>
      </c>
      <c r="D101" s="17" t="s">
        <v>482</v>
      </c>
      <c r="E101" s="4" t="s">
        <v>1064</v>
      </c>
      <c r="F101" s="6" t="s">
        <v>899</v>
      </c>
      <c r="G101" s="6" t="s">
        <v>734</v>
      </c>
      <c r="H101" s="34">
        <f>'S8'!D169</f>
        <v>744.46</v>
      </c>
      <c r="I101" s="6" t="s">
        <v>739</v>
      </c>
      <c r="J101" s="35">
        <f>'S8'!D171</f>
        <v>25</v>
      </c>
      <c r="K101" s="6" t="s">
        <v>896</v>
      </c>
      <c r="L101" s="9"/>
      <c r="M101" s="9"/>
      <c r="N101" s="9"/>
      <c r="O101" s="9"/>
      <c r="P101" s="9"/>
      <c r="Q101" s="9"/>
    </row>
    <row r="102" spans="1:17" x14ac:dyDescent="0.25">
      <c r="A102" s="17" t="s">
        <v>510</v>
      </c>
      <c r="B102" s="17" t="s">
        <v>149</v>
      </c>
      <c r="C102" s="17">
        <v>12</v>
      </c>
      <c r="D102" s="17" t="s">
        <v>482</v>
      </c>
      <c r="E102" s="4" t="s">
        <v>1065</v>
      </c>
      <c r="F102" s="6" t="s">
        <v>1066</v>
      </c>
      <c r="G102" s="6" t="s">
        <v>977</v>
      </c>
      <c r="H102" s="6" t="s">
        <v>1067</v>
      </c>
      <c r="I102" s="6"/>
      <c r="J102" s="6"/>
      <c r="K102" s="6" t="s">
        <v>1008</v>
      </c>
      <c r="L102" s="9"/>
      <c r="M102" s="9"/>
      <c r="N102" s="9"/>
      <c r="O102" s="9"/>
      <c r="P102" s="9"/>
      <c r="Q102" s="9"/>
    </row>
  </sheetData>
  <mergeCells count="2">
    <mergeCell ref="A2:K2"/>
    <mergeCell ref="A14:K14"/>
  </mergeCells>
  <conditionalFormatting sqref="A1:Q102">
    <cfRule type="cellIs" dxfId="66" priority="1" operator="equal">
      <formula>"PASS"</formula>
    </cfRule>
    <cfRule type="cellIs" dxfId="67" priority="2" operator="equal">
      <formula>"OK"</formula>
    </cfRule>
    <cfRule type="cellIs" dxfId="68" priority="3" operator="equal">
      <formula>"Covered"</formula>
    </cfRule>
    <cfRule type="cellIs" dxfId="69" priority="4" operator="equal">
      <formula>"FAIL"</formula>
    </cfRule>
    <cfRule type="cellIs" dxfId="70" priority="5" operator="equal">
      <formula>"CHECK"</formula>
    </cfRule>
    <cfRule type="cellIs" dxfId="71" priority="6" operator="equal">
      <formula>"GAP"</formula>
    </cfRule>
  </conditionalFormatting>
  <dataValidations count="4">
    <dataValidation type="list" allowBlank="1" sqref="L100:L102">
      <formula1>"Y,N"</formula1>
    </dataValidation>
    <dataValidation type="list" allowBlank="1" sqref="L17:L102">
      <formula1>"Y,N"</formula1>
    </dataValidation>
    <dataValidation type="list" allowBlank="1" sqref="N100:O102">
      <formula1>"Y,N"</formula1>
    </dataValidation>
    <dataValidation type="list" allowBlank="1" sqref="N17:O102">
      <formula1>"Y,N"</formula1>
    </dataValidation>
  </dataValidations>
  <pageSetup orientation="landscape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B21A8"/>
    <pageSetUpPr fitToPage="1"/>
  </sheetPr>
  <dimension ref="A1:N92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24" customWidth="1"/>
    <col min="3" max="3" width="38" customWidth="1"/>
    <col min="4" max="4" width="58" customWidth="1"/>
    <col min="5" max="12" width="6" customWidth="1"/>
    <col min="13" max="13" width="10" customWidth="1"/>
    <col min="14" max="14" width="11" customWidth="1"/>
  </cols>
  <sheetData>
    <row r="1" spans="1:1" x14ac:dyDescent="0.25">
      <c r="A1" s="1" t="s">
        <v>1068</v>
      </c>
    </row>
    <row r="2" spans="1:12" x14ac:dyDescent="0.25">
      <c r="A2" s="2" t="s">
        <v>1069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3:4" x14ac:dyDescent="0.25">
      <c r="C3" s="10" t="s">
        <v>1070</v>
      </c>
      <c r="D3" s="36" t="str">
        <f>COUNTA(A6:A92)&amp;" controls  |  "&amp;COUNTIF(N6:N92,"Covered")&amp;" covered  |  "&amp;COUNTIF(N6:N92,"GAP")&amp;" gaps"</f>
        <v>87 controls  |  87 covered  |  0 gaps</v>
      </c>
    </row>
    <row r="5" spans="1:14" x14ac:dyDescent="0.25">
      <c r="A5" s="16" t="s">
        <v>111</v>
      </c>
      <c r="B5" s="16" t="s">
        <v>1071</v>
      </c>
      <c r="C5" s="16" t="s">
        <v>1072</v>
      </c>
      <c r="D5" s="16" t="s">
        <v>1073</v>
      </c>
      <c r="E5" s="16" t="s">
        <v>121</v>
      </c>
      <c r="F5" s="16" t="s">
        <v>125</v>
      </c>
      <c r="G5" s="16" t="s">
        <v>129</v>
      </c>
      <c r="H5" s="16" t="s">
        <v>133</v>
      </c>
      <c r="I5" s="16" t="s">
        <v>137</v>
      </c>
      <c r="J5" s="16" t="s">
        <v>141</v>
      </c>
      <c r="K5" s="16" t="s">
        <v>145</v>
      </c>
      <c r="L5" s="16" t="s">
        <v>149</v>
      </c>
      <c r="M5" s="16" t="s">
        <v>1074</v>
      </c>
      <c r="N5" s="16" t="s">
        <v>162</v>
      </c>
    </row>
    <row r="6" spans="1:14" x14ac:dyDescent="0.25">
      <c r="A6" s="17" t="s">
        <v>1075</v>
      </c>
      <c r="B6" s="4" t="s">
        <v>1076</v>
      </c>
      <c r="C6" s="10" t="s">
        <v>520</v>
      </c>
      <c r="D6" s="6" t="s">
        <v>1077</v>
      </c>
      <c r="E6" s="17" t="s">
        <v>1078</v>
      </c>
      <c r="F6" s="17" t="s">
        <v>1078</v>
      </c>
      <c r="G6" s="17" t="s">
        <v>1078</v>
      </c>
      <c r="H6" s="17" t="s">
        <v>1078</v>
      </c>
      <c r="I6" s="17" t="s">
        <v>1078</v>
      </c>
      <c r="J6" s="17" t="s">
        <v>1078</v>
      </c>
      <c r="K6" s="17" t="s">
        <v>1078</v>
      </c>
      <c r="L6" s="17" t="s">
        <v>1078</v>
      </c>
      <c r="M6" s="18">
        <f>COUNTIF(E6:L6,"●")</f>
        <v>8</v>
      </c>
      <c r="N6" s="27" t="str">
        <f>IF(M6=0,"GAP","Covered")</f>
        <v>Covered</v>
      </c>
    </row>
    <row r="7" spans="1:14" x14ac:dyDescent="0.25">
      <c r="A7" s="17" t="s">
        <v>1079</v>
      </c>
      <c r="B7" s="4" t="s">
        <v>1076</v>
      </c>
      <c r="C7" s="10" t="s">
        <v>523</v>
      </c>
      <c r="D7" s="6" t="s">
        <v>1080</v>
      </c>
      <c r="E7" s="17" t="s">
        <v>1078</v>
      </c>
      <c r="F7" s="17" t="s">
        <v>1078</v>
      </c>
      <c r="G7" s="17" t="s">
        <v>1078</v>
      </c>
      <c r="H7" s="17" t="s">
        <v>1078</v>
      </c>
      <c r="I7" s="17" t="s">
        <v>1078</v>
      </c>
      <c r="J7" s="17" t="s">
        <v>1078</v>
      </c>
      <c r="K7" s="17" t="s">
        <v>1078</v>
      </c>
      <c r="L7" s="17" t="s">
        <v>1078</v>
      </c>
      <c r="M7" s="18">
        <f>COUNTIF(E7:L7,"●")</f>
        <v>8</v>
      </c>
      <c r="N7" s="27" t="str">
        <f>IF(M7=0,"GAP","Covered")</f>
        <v>Covered</v>
      </c>
    </row>
    <row r="8" spans="1:14" x14ac:dyDescent="0.25">
      <c r="A8" s="17" t="s">
        <v>1081</v>
      </c>
      <c r="B8" s="4" t="s">
        <v>1076</v>
      </c>
      <c r="C8" s="10" t="s">
        <v>525</v>
      </c>
      <c r="D8" s="6" t="s">
        <v>1082</v>
      </c>
      <c r="E8" s="17" t="s">
        <v>1078</v>
      </c>
      <c r="F8" s="17" t="s">
        <v>1078</v>
      </c>
      <c r="G8" s="17" t="s">
        <v>1078</v>
      </c>
      <c r="H8" s="17" t="s">
        <v>1078</v>
      </c>
      <c r="I8" s="17" t="s">
        <v>1078</v>
      </c>
      <c r="J8" s="17" t="s">
        <v>1078</v>
      </c>
      <c r="K8" s="17" t="s">
        <v>1078</v>
      </c>
      <c r="L8" s="17" t="s">
        <v>1078</v>
      </c>
      <c r="M8" s="18">
        <f>COUNTIF(E8:L8,"●")</f>
        <v>8</v>
      </c>
      <c r="N8" s="27" t="str">
        <f>IF(M8=0,"GAP","Covered")</f>
        <v>Covered</v>
      </c>
    </row>
    <row r="9" spans="1:14" x14ac:dyDescent="0.25">
      <c r="A9" s="17" t="s">
        <v>383</v>
      </c>
      <c r="B9" s="4" t="s">
        <v>1076</v>
      </c>
      <c r="C9" s="10" t="s">
        <v>528</v>
      </c>
      <c r="D9" s="6" t="s">
        <v>1083</v>
      </c>
      <c r="E9" s="17" t="s">
        <v>1078</v>
      </c>
      <c r="F9" s="17" t="s">
        <v>1078</v>
      </c>
      <c r="G9" s="17" t="s">
        <v>1078</v>
      </c>
      <c r="H9" s="17" t="s">
        <v>1078</v>
      </c>
      <c r="I9" s="17" t="s">
        <v>1078</v>
      </c>
      <c r="J9" s="17" t="s">
        <v>1078</v>
      </c>
      <c r="K9" s="17" t="s">
        <v>1078</v>
      </c>
      <c r="L9" s="17" t="s">
        <v>1078</v>
      </c>
      <c r="M9" s="18">
        <f>COUNTIF(E9:L9,"●")</f>
        <v>8</v>
      </c>
      <c r="N9" s="27" t="str">
        <f>IF(M9=0,"GAP","Covered")</f>
        <v>Covered</v>
      </c>
    </row>
    <row r="10" spans="1:14" x14ac:dyDescent="0.25">
      <c r="A10" s="17" t="s">
        <v>360</v>
      </c>
      <c r="B10" s="4" t="s">
        <v>1076</v>
      </c>
      <c r="C10" s="10" t="s">
        <v>531</v>
      </c>
      <c r="D10" s="6" t="s">
        <v>1084</v>
      </c>
      <c r="E10" s="17" t="s">
        <v>1078</v>
      </c>
      <c r="F10" s="17" t="s">
        <v>1078</v>
      </c>
      <c r="G10" s="17" t="s">
        <v>1078</v>
      </c>
      <c r="H10" s="17" t="s">
        <v>1078</v>
      </c>
      <c r="I10" s="17" t="s">
        <v>1078</v>
      </c>
      <c r="J10" s="17" t="s">
        <v>1078</v>
      </c>
      <c r="K10" s="17" t="s">
        <v>1078</v>
      </c>
      <c r="L10" s="17" t="s">
        <v>1078</v>
      </c>
      <c r="M10" s="18">
        <f>COUNTIF(E10:L10,"●")</f>
        <v>8</v>
      </c>
      <c r="N10" s="27" t="str">
        <f>IF(M10=0,"GAP","Covered")</f>
        <v>Covered</v>
      </c>
    </row>
    <row r="11" spans="1:14" x14ac:dyDescent="0.25">
      <c r="A11" s="17" t="s">
        <v>1085</v>
      </c>
      <c r="B11" s="4" t="s">
        <v>1076</v>
      </c>
      <c r="C11" s="10" t="s">
        <v>532</v>
      </c>
      <c r="D11" s="6" t="s">
        <v>1086</v>
      </c>
      <c r="E11" s="17" t="s">
        <v>1078</v>
      </c>
      <c r="F11" s="17" t="s">
        <v>1078</v>
      </c>
      <c r="G11" s="17" t="s">
        <v>1078</v>
      </c>
      <c r="H11" s="17" t="s">
        <v>1078</v>
      </c>
      <c r="I11" s="17" t="s">
        <v>1078</v>
      </c>
      <c r="J11" s="17" t="s">
        <v>1078</v>
      </c>
      <c r="K11" s="17" t="s">
        <v>1078</v>
      </c>
      <c r="L11" s="17" t="s">
        <v>1078</v>
      </c>
      <c r="M11" s="18">
        <f>COUNTIF(E11:L11,"●")</f>
        <v>8</v>
      </c>
      <c r="N11" s="27" t="str">
        <f>IF(M11=0,"GAP","Covered")</f>
        <v>Covered</v>
      </c>
    </row>
    <row r="12" spans="1:14" x14ac:dyDescent="0.25">
      <c r="A12" s="17" t="s">
        <v>1087</v>
      </c>
      <c r="B12" s="4" t="s">
        <v>1076</v>
      </c>
      <c r="C12" s="10" t="s">
        <v>1088</v>
      </c>
      <c r="D12" s="6" t="s">
        <v>1089</v>
      </c>
      <c r="E12" s="17" t="s">
        <v>1078</v>
      </c>
      <c r="F12" s="17" t="s">
        <v>1078</v>
      </c>
      <c r="G12" s="17"/>
      <c r="H12" s="17" t="s">
        <v>1078</v>
      </c>
      <c r="I12" s="17"/>
      <c r="J12" s="17" t="s">
        <v>1078</v>
      </c>
      <c r="K12" s="17"/>
      <c r="L12" s="17"/>
      <c r="M12" s="18">
        <f>COUNTIF(E12:L12,"●")</f>
        <v>4</v>
      </c>
      <c r="N12" s="27" t="str">
        <f>IF(M12=0,"GAP","Covered")</f>
        <v>Covered</v>
      </c>
    </row>
    <row r="13" spans="1:14" x14ac:dyDescent="0.25">
      <c r="A13" s="17" t="s">
        <v>1090</v>
      </c>
      <c r="B13" s="4" t="s">
        <v>1076</v>
      </c>
      <c r="C13" s="10" t="s">
        <v>1091</v>
      </c>
      <c r="D13" s="6" t="s">
        <v>1092</v>
      </c>
      <c r="E13" s="17"/>
      <c r="F13" s="17" t="s">
        <v>1078</v>
      </c>
      <c r="G13" s="17"/>
      <c r="H13" s="17" t="s">
        <v>1078</v>
      </c>
      <c r="I13" s="17"/>
      <c r="J13" s="17" t="s">
        <v>1078</v>
      </c>
      <c r="K13" s="17"/>
      <c r="L13" s="17"/>
      <c r="M13" s="18">
        <f>COUNTIF(E13:L13,"●")</f>
        <v>3</v>
      </c>
      <c r="N13" s="27" t="str">
        <f>IF(M13=0,"GAP","Covered")</f>
        <v>Covered</v>
      </c>
    </row>
    <row r="14" spans="1:14" x14ac:dyDescent="0.25">
      <c r="A14" s="17" t="s">
        <v>326</v>
      </c>
      <c r="B14" s="4" t="s">
        <v>1076</v>
      </c>
      <c r="C14" s="10" t="s">
        <v>1093</v>
      </c>
      <c r="D14" s="6" t="s">
        <v>1094</v>
      </c>
      <c r="E14" s="17"/>
      <c r="F14" s="17"/>
      <c r="G14" s="17"/>
      <c r="H14" s="17" t="s">
        <v>1078</v>
      </c>
      <c r="I14" s="17"/>
      <c r="J14" s="17"/>
      <c r="K14" s="17"/>
      <c r="L14" s="17"/>
      <c r="M14" s="18">
        <f>COUNTIF(E14:L14,"●")</f>
        <v>1</v>
      </c>
      <c r="N14" s="27" t="str">
        <f>IF(M14=0,"GAP","Covered")</f>
        <v>Covered</v>
      </c>
    </row>
    <row r="15" spans="1:14" x14ac:dyDescent="0.25">
      <c r="A15" s="17" t="s">
        <v>1095</v>
      </c>
      <c r="B15" s="4" t="s">
        <v>1076</v>
      </c>
      <c r="C15" s="10" t="s">
        <v>1096</v>
      </c>
      <c r="D15" s="6" t="s">
        <v>1097</v>
      </c>
      <c r="E15" s="17"/>
      <c r="F15" s="17"/>
      <c r="G15" s="17" t="s">
        <v>1078</v>
      </c>
      <c r="H15" s="17"/>
      <c r="I15" s="17"/>
      <c r="J15" s="17"/>
      <c r="K15" s="17"/>
      <c r="L15" s="17"/>
      <c r="M15" s="18">
        <f>COUNTIF(E15:L15,"●")</f>
        <v>1</v>
      </c>
      <c r="N15" s="27" t="str">
        <f>IF(M15=0,"GAP","Covered")</f>
        <v>Covered</v>
      </c>
    </row>
    <row r="16" spans="1:14" x14ac:dyDescent="0.25">
      <c r="A16" s="17" t="s">
        <v>1098</v>
      </c>
      <c r="B16" s="4" t="s">
        <v>1076</v>
      </c>
      <c r="C16" s="10" t="s">
        <v>1099</v>
      </c>
      <c r="D16" s="6" t="s">
        <v>1100</v>
      </c>
      <c r="E16" s="17" t="s">
        <v>1078</v>
      </c>
      <c r="F16" s="17" t="s">
        <v>1078</v>
      </c>
      <c r="G16" s="17" t="s">
        <v>1078</v>
      </c>
      <c r="H16" s="17" t="s">
        <v>1078</v>
      </c>
      <c r="I16" s="17" t="s">
        <v>1078</v>
      </c>
      <c r="J16" s="17" t="s">
        <v>1078</v>
      </c>
      <c r="K16" s="17" t="s">
        <v>1078</v>
      </c>
      <c r="L16" s="17" t="s">
        <v>1078</v>
      </c>
      <c r="M16" s="18">
        <f>COUNTIF(E16:L16,"●")</f>
        <v>8</v>
      </c>
      <c r="N16" s="27" t="str">
        <f>IF(M16=0,"GAP","Covered")</f>
        <v>Covered</v>
      </c>
    </row>
    <row r="17" spans="1:14" x14ac:dyDescent="0.25">
      <c r="A17" s="17" t="s">
        <v>1101</v>
      </c>
      <c r="B17" s="4" t="s">
        <v>1076</v>
      </c>
      <c r="C17" s="10" t="s">
        <v>1102</v>
      </c>
      <c r="D17" s="6" t="s">
        <v>1103</v>
      </c>
      <c r="E17" s="17" t="s">
        <v>1078</v>
      </c>
      <c r="F17" s="17" t="s">
        <v>1078</v>
      </c>
      <c r="G17" s="17" t="s">
        <v>1078</v>
      </c>
      <c r="H17" s="17" t="s">
        <v>1078</v>
      </c>
      <c r="I17" s="17" t="s">
        <v>1078</v>
      </c>
      <c r="J17" s="17" t="s">
        <v>1078</v>
      </c>
      <c r="K17" s="17" t="s">
        <v>1078</v>
      </c>
      <c r="L17" s="17" t="s">
        <v>1078</v>
      </c>
      <c r="M17" s="18">
        <f>COUNTIF(E17:L17,"●")</f>
        <v>8</v>
      </c>
      <c r="N17" s="27" t="str">
        <f>IF(M17=0,"GAP","Covered")</f>
        <v>Covered</v>
      </c>
    </row>
    <row r="18" spans="1:14" x14ac:dyDescent="0.25">
      <c r="A18" s="17" t="s">
        <v>1104</v>
      </c>
      <c r="B18" s="4" t="s">
        <v>1076</v>
      </c>
      <c r="C18" s="10" t="s">
        <v>1105</v>
      </c>
      <c r="D18" s="6" t="s">
        <v>1106</v>
      </c>
      <c r="E18" s="17" t="s">
        <v>1078</v>
      </c>
      <c r="F18" s="17" t="s">
        <v>1078</v>
      </c>
      <c r="G18" s="17" t="s">
        <v>1078</v>
      </c>
      <c r="H18" s="17" t="s">
        <v>1078</v>
      </c>
      <c r="I18" s="17" t="s">
        <v>1078</v>
      </c>
      <c r="J18" s="17" t="s">
        <v>1078</v>
      </c>
      <c r="K18" s="17" t="s">
        <v>1078</v>
      </c>
      <c r="L18" s="17" t="s">
        <v>1078</v>
      </c>
      <c r="M18" s="18">
        <f>COUNTIF(E18:L18,"●")</f>
        <v>8</v>
      </c>
      <c r="N18" s="27" t="str">
        <f>IF(M18=0,"GAP","Covered")</f>
        <v>Covered</v>
      </c>
    </row>
    <row r="19" spans="1:14" x14ac:dyDescent="0.25">
      <c r="A19" s="17" t="s">
        <v>1107</v>
      </c>
      <c r="B19" s="4" t="s">
        <v>1076</v>
      </c>
      <c r="C19" s="10" t="s">
        <v>590</v>
      </c>
      <c r="D19" s="6" t="s">
        <v>1108</v>
      </c>
      <c r="E19" s="17" t="s">
        <v>1078</v>
      </c>
      <c r="F19" s="17" t="s">
        <v>1078</v>
      </c>
      <c r="G19" s="17" t="s">
        <v>1078</v>
      </c>
      <c r="H19" s="17" t="s">
        <v>1078</v>
      </c>
      <c r="I19" s="17" t="s">
        <v>1078</v>
      </c>
      <c r="J19" s="17" t="s">
        <v>1078</v>
      </c>
      <c r="K19" s="17" t="s">
        <v>1078</v>
      </c>
      <c r="L19" s="17" t="s">
        <v>1078</v>
      </c>
      <c r="M19" s="18">
        <f>COUNTIF(E19:L19,"●")</f>
        <v>8</v>
      </c>
      <c r="N19" s="27" t="str">
        <f>IF(M19=0,"GAP","Covered")</f>
        <v>Covered</v>
      </c>
    </row>
    <row r="20" spans="1:14" x14ac:dyDescent="0.25">
      <c r="A20" s="17" t="s">
        <v>1109</v>
      </c>
      <c r="B20" s="4" t="s">
        <v>1076</v>
      </c>
      <c r="C20" s="10" t="s">
        <v>541</v>
      </c>
      <c r="D20" s="6" t="s">
        <v>1110</v>
      </c>
      <c r="E20" s="17" t="s">
        <v>1078</v>
      </c>
      <c r="F20" s="17" t="s">
        <v>1078</v>
      </c>
      <c r="G20" s="17" t="s">
        <v>1078</v>
      </c>
      <c r="H20" s="17" t="s">
        <v>1078</v>
      </c>
      <c r="I20" s="17" t="s">
        <v>1078</v>
      </c>
      <c r="J20" s="17" t="s">
        <v>1078</v>
      </c>
      <c r="K20" s="17" t="s">
        <v>1078</v>
      </c>
      <c r="L20" s="17" t="s">
        <v>1078</v>
      </c>
      <c r="M20" s="18">
        <f>COUNTIF(E20:L20,"●")</f>
        <v>8</v>
      </c>
      <c r="N20" s="27" t="str">
        <f>IF(M20=0,"GAP","Covered")</f>
        <v>Covered</v>
      </c>
    </row>
    <row r="21" spans="1:14" x14ac:dyDescent="0.25">
      <c r="A21" s="17" t="s">
        <v>1111</v>
      </c>
      <c r="B21" s="4" t="s">
        <v>1076</v>
      </c>
      <c r="C21" s="10" t="s">
        <v>543</v>
      </c>
      <c r="D21" s="6" t="s">
        <v>1110</v>
      </c>
      <c r="E21" s="17" t="s">
        <v>1078</v>
      </c>
      <c r="F21" s="17" t="s">
        <v>1078</v>
      </c>
      <c r="G21" s="17" t="s">
        <v>1078</v>
      </c>
      <c r="H21" s="17" t="s">
        <v>1078</v>
      </c>
      <c r="I21" s="17" t="s">
        <v>1078</v>
      </c>
      <c r="J21" s="17" t="s">
        <v>1078</v>
      </c>
      <c r="K21" s="17" t="s">
        <v>1078</v>
      </c>
      <c r="L21" s="17" t="s">
        <v>1078</v>
      </c>
      <c r="M21" s="18">
        <f>COUNTIF(E21:L21,"●")</f>
        <v>8</v>
      </c>
      <c r="N21" s="27" t="str">
        <f>IF(M21=0,"GAP","Covered")</f>
        <v>Covered</v>
      </c>
    </row>
    <row r="22" spans="1:14" x14ac:dyDescent="0.25">
      <c r="A22" s="17" t="s">
        <v>304</v>
      </c>
      <c r="B22" s="4" t="s">
        <v>1076</v>
      </c>
      <c r="C22" s="10" t="s">
        <v>1112</v>
      </c>
      <c r="D22" s="6" t="s">
        <v>1113</v>
      </c>
      <c r="E22" s="17"/>
      <c r="F22" s="17"/>
      <c r="G22" s="17" t="s">
        <v>1078</v>
      </c>
      <c r="H22" s="17"/>
      <c r="I22" s="17"/>
      <c r="J22" s="17"/>
      <c r="K22" s="17"/>
      <c r="L22" s="17"/>
      <c r="M22" s="18">
        <f>COUNTIF(E22:L22,"●")</f>
        <v>1</v>
      </c>
      <c r="N22" s="27" t="str">
        <f>IF(M22=0,"GAP","Covered")</f>
        <v>Covered</v>
      </c>
    </row>
    <row r="23" spans="1:14" x14ac:dyDescent="0.25">
      <c r="A23" s="17" t="s">
        <v>309</v>
      </c>
      <c r="B23" s="4" t="s">
        <v>1076</v>
      </c>
      <c r="C23" s="10" t="s">
        <v>1114</v>
      </c>
      <c r="D23" s="6" t="s">
        <v>1115</v>
      </c>
      <c r="E23" s="17"/>
      <c r="F23" s="17"/>
      <c r="G23" s="17" t="s">
        <v>1078</v>
      </c>
      <c r="H23" s="17"/>
      <c r="I23" s="17"/>
      <c r="J23" s="17"/>
      <c r="K23" s="17"/>
      <c r="L23" s="17"/>
      <c r="M23" s="18">
        <f>COUNTIF(E23:L23,"●")</f>
        <v>1</v>
      </c>
      <c r="N23" s="27" t="str">
        <f>IF(M23=0,"GAP","Covered")</f>
        <v>Covered</v>
      </c>
    </row>
    <row r="24" spans="1:14" x14ac:dyDescent="0.25">
      <c r="A24" s="17" t="s">
        <v>1116</v>
      </c>
      <c r="B24" s="4" t="s">
        <v>1076</v>
      </c>
      <c r="C24" s="10" t="s">
        <v>544</v>
      </c>
      <c r="D24" s="6" t="s">
        <v>1117</v>
      </c>
      <c r="E24" s="17"/>
      <c r="F24" s="17" t="s">
        <v>1078</v>
      </c>
      <c r="G24" s="17" t="s">
        <v>1078</v>
      </c>
      <c r="H24" s="17" t="s">
        <v>1078</v>
      </c>
      <c r="I24" s="17" t="s">
        <v>1078</v>
      </c>
      <c r="J24" s="17" t="s">
        <v>1078</v>
      </c>
      <c r="K24" s="17" t="s">
        <v>1078</v>
      </c>
      <c r="L24" s="17" t="s">
        <v>1078</v>
      </c>
      <c r="M24" s="18">
        <f>COUNTIF(E24:L24,"●")</f>
        <v>7</v>
      </c>
      <c r="N24" s="27" t="str">
        <f>IF(M24=0,"GAP","Covered")</f>
        <v>Covered</v>
      </c>
    </row>
    <row r="25" spans="1:14" x14ac:dyDescent="0.25">
      <c r="A25" s="17" t="s">
        <v>1118</v>
      </c>
      <c r="B25" s="4" t="s">
        <v>1076</v>
      </c>
      <c r="C25" s="10" t="s">
        <v>546</v>
      </c>
      <c r="D25" s="6" t="s">
        <v>1117</v>
      </c>
      <c r="E25" s="17"/>
      <c r="F25" s="17"/>
      <c r="G25" s="17" t="s">
        <v>1078</v>
      </c>
      <c r="H25" s="17" t="s">
        <v>1078</v>
      </c>
      <c r="I25" s="17"/>
      <c r="J25" s="17" t="s">
        <v>1078</v>
      </c>
      <c r="K25" s="17"/>
      <c r="L25" s="17"/>
      <c r="M25" s="18">
        <f>COUNTIF(E25:L25,"●")</f>
        <v>3</v>
      </c>
      <c r="N25" s="27" t="str">
        <f>IF(M25=0,"GAP","Covered")</f>
        <v>Covered</v>
      </c>
    </row>
    <row r="26" spans="1:14" x14ac:dyDescent="0.25">
      <c r="A26" s="17" t="s">
        <v>1119</v>
      </c>
      <c r="B26" s="4" t="s">
        <v>1076</v>
      </c>
      <c r="C26" s="10" t="s">
        <v>547</v>
      </c>
      <c r="D26" s="6" t="s">
        <v>1117</v>
      </c>
      <c r="E26" s="17"/>
      <c r="F26" s="17" t="s">
        <v>1078</v>
      </c>
      <c r="G26" s="17" t="s">
        <v>1078</v>
      </c>
      <c r="H26" s="17" t="s">
        <v>1078</v>
      </c>
      <c r="I26" s="17"/>
      <c r="J26" s="17" t="s">
        <v>1078</v>
      </c>
      <c r="K26" s="17"/>
      <c r="L26" s="17"/>
      <c r="M26" s="18">
        <f>COUNTIF(E26:L26,"●")</f>
        <v>4</v>
      </c>
      <c r="N26" s="27" t="str">
        <f>IF(M26=0,"GAP","Covered")</f>
        <v>Covered</v>
      </c>
    </row>
    <row r="27" spans="1:14" x14ac:dyDescent="0.25">
      <c r="A27" s="17" t="s">
        <v>1120</v>
      </c>
      <c r="B27" s="4" t="s">
        <v>1076</v>
      </c>
      <c r="C27" s="10" t="s">
        <v>548</v>
      </c>
      <c r="D27" s="6" t="s">
        <v>1121</v>
      </c>
      <c r="E27" s="17"/>
      <c r="F27" s="17" t="s">
        <v>1078</v>
      </c>
      <c r="G27" s="17"/>
      <c r="H27" s="17" t="s">
        <v>1078</v>
      </c>
      <c r="I27" s="17"/>
      <c r="J27" s="17"/>
      <c r="K27" s="17"/>
      <c r="L27" s="17"/>
      <c r="M27" s="18">
        <f>COUNTIF(E27:L27,"●")</f>
        <v>2</v>
      </c>
      <c r="N27" s="27" t="str">
        <f>IF(M27=0,"GAP","Covered")</f>
        <v>Covered</v>
      </c>
    </row>
    <row r="28" spans="1:14" x14ac:dyDescent="0.25">
      <c r="A28" s="17" t="s">
        <v>1122</v>
      </c>
      <c r="B28" s="4" t="s">
        <v>1076</v>
      </c>
      <c r="C28" s="10" t="s">
        <v>550</v>
      </c>
      <c r="D28" s="6" t="s">
        <v>1121</v>
      </c>
      <c r="E28" s="17"/>
      <c r="F28" s="17" t="s">
        <v>1078</v>
      </c>
      <c r="G28" s="17"/>
      <c r="H28" s="17" t="s">
        <v>1078</v>
      </c>
      <c r="I28" s="17"/>
      <c r="J28" s="17"/>
      <c r="K28" s="17"/>
      <c r="L28" s="17"/>
      <c r="M28" s="18">
        <f>COUNTIF(E28:L28,"●")</f>
        <v>2</v>
      </c>
      <c r="N28" s="27" t="str">
        <f>IF(M28=0,"GAP","Covered")</f>
        <v>Covered</v>
      </c>
    </row>
    <row r="29" spans="1:14" x14ac:dyDescent="0.25">
      <c r="A29" s="17" t="s">
        <v>1123</v>
      </c>
      <c r="B29" s="4" t="s">
        <v>1076</v>
      </c>
      <c r="C29" s="10" t="s">
        <v>551</v>
      </c>
      <c r="D29" s="6" t="s">
        <v>1121</v>
      </c>
      <c r="E29" s="17"/>
      <c r="F29" s="17" t="s">
        <v>1078</v>
      </c>
      <c r="G29" s="17"/>
      <c r="H29" s="17"/>
      <c r="I29" s="17"/>
      <c r="J29" s="17"/>
      <c r="K29" s="17"/>
      <c r="L29" s="17"/>
      <c r="M29" s="18">
        <f>COUNTIF(E29:L29,"●")</f>
        <v>1</v>
      </c>
      <c r="N29" s="27" t="str">
        <f>IF(M29=0,"GAP","Covered")</f>
        <v>Covered</v>
      </c>
    </row>
    <row r="30" spans="1:14" x14ac:dyDescent="0.25">
      <c r="A30" s="17" t="s">
        <v>1124</v>
      </c>
      <c r="B30" s="4" t="s">
        <v>1076</v>
      </c>
      <c r="C30" s="10" t="s">
        <v>552</v>
      </c>
      <c r="D30" s="6" t="s">
        <v>1121</v>
      </c>
      <c r="E30" s="17" t="s">
        <v>1078</v>
      </c>
      <c r="F30" s="17" t="s">
        <v>1078</v>
      </c>
      <c r="G30" s="17"/>
      <c r="H30" s="17"/>
      <c r="I30" s="17"/>
      <c r="J30" s="17"/>
      <c r="K30" s="17"/>
      <c r="L30" s="17"/>
      <c r="M30" s="18">
        <f>COUNTIF(E30:L30,"●")</f>
        <v>2</v>
      </c>
      <c r="N30" s="27" t="str">
        <f>IF(M30=0,"GAP","Covered")</f>
        <v>Covered</v>
      </c>
    </row>
    <row r="31" spans="1:14" x14ac:dyDescent="0.25">
      <c r="A31" s="17" t="s">
        <v>1125</v>
      </c>
      <c r="B31" s="4" t="s">
        <v>1076</v>
      </c>
      <c r="C31" s="10" t="s">
        <v>553</v>
      </c>
      <c r="D31" s="6" t="s">
        <v>1121</v>
      </c>
      <c r="E31" s="17" t="s">
        <v>1078</v>
      </c>
      <c r="F31" s="17" t="s">
        <v>1078</v>
      </c>
      <c r="G31" s="17"/>
      <c r="H31" s="17"/>
      <c r="I31" s="17"/>
      <c r="J31" s="17"/>
      <c r="K31" s="17"/>
      <c r="L31" s="17"/>
      <c r="M31" s="18">
        <f>COUNTIF(E31:L31,"●")</f>
        <v>2</v>
      </c>
      <c r="N31" s="27" t="str">
        <f>IF(M31=0,"GAP","Covered")</f>
        <v>Covered</v>
      </c>
    </row>
    <row r="32" spans="1:14" x14ac:dyDescent="0.25">
      <c r="A32" s="17" t="s">
        <v>1126</v>
      </c>
      <c r="B32" s="4" t="s">
        <v>1076</v>
      </c>
      <c r="C32" s="10" t="s">
        <v>554</v>
      </c>
      <c r="D32" s="6" t="s">
        <v>1121</v>
      </c>
      <c r="E32" s="17" t="s">
        <v>1078</v>
      </c>
      <c r="F32" s="17"/>
      <c r="G32" s="17"/>
      <c r="H32" s="17"/>
      <c r="I32" s="17"/>
      <c r="J32" s="17"/>
      <c r="K32" s="17"/>
      <c r="L32" s="17"/>
      <c r="M32" s="18">
        <f>COUNTIF(E32:L32,"●")</f>
        <v>1</v>
      </c>
      <c r="N32" s="27" t="str">
        <f>IF(M32=0,"GAP","Covered")</f>
        <v>Covered</v>
      </c>
    </row>
    <row r="33" spans="1:14" x14ac:dyDescent="0.25">
      <c r="A33" s="17" t="s">
        <v>1127</v>
      </c>
      <c r="B33" s="4" t="s">
        <v>1076</v>
      </c>
      <c r="C33" s="10" t="s">
        <v>555</v>
      </c>
      <c r="D33" s="6" t="s">
        <v>1121</v>
      </c>
      <c r="E33" s="17"/>
      <c r="F33" s="17"/>
      <c r="G33" s="17" t="s">
        <v>1078</v>
      </c>
      <c r="H33" s="17" t="s">
        <v>1078</v>
      </c>
      <c r="I33" s="17" t="s">
        <v>1078</v>
      </c>
      <c r="J33" s="17" t="s">
        <v>1078</v>
      </c>
      <c r="K33" s="17"/>
      <c r="L33" s="17"/>
      <c r="M33" s="18">
        <f>COUNTIF(E33:L33,"●")</f>
        <v>4</v>
      </c>
      <c r="N33" s="27" t="str">
        <f>IF(M33=0,"GAP","Covered")</f>
        <v>Covered</v>
      </c>
    </row>
    <row r="34" spans="1:14" x14ac:dyDescent="0.25">
      <c r="A34" s="17" t="s">
        <v>1128</v>
      </c>
      <c r="B34" s="4" t="s">
        <v>1076</v>
      </c>
      <c r="C34" s="10" t="s">
        <v>556</v>
      </c>
      <c r="D34" s="6" t="s">
        <v>1121</v>
      </c>
      <c r="E34" s="17" t="s">
        <v>1078</v>
      </c>
      <c r="F34" s="17"/>
      <c r="G34" s="17"/>
      <c r="H34" s="17"/>
      <c r="I34" s="17"/>
      <c r="J34" s="17"/>
      <c r="K34" s="17"/>
      <c r="L34" s="17"/>
      <c r="M34" s="18">
        <f>COUNTIF(E34:L34,"●")</f>
        <v>1</v>
      </c>
      <c r="N34" s="27" t="str">
        <f>IF(M34=0,"GAP","Covered")</f>
        <v>Covered</v>
      </c>
    </row>
    <row r="35" spans="1:14" x14ac:dyDescent="0.25">
      <c r="A35" s="17" t="s">
        <v>1129</v>
      </c>
      <c r="B35" s="4" t="s">
        <v>1076</v>
      </c>
      <c r="C35" s="10" t="s">
        <v>1130</v>
      </c>
      <c r="D35" s="6" t="s">
        <v>1131</v>
      </c>
      <c r="E35" s="17" t="s">
        <v>1078</v>
      </c>
      <c r="F35" s="17"/>
      <c r="G35" s="17"/>
      <c r="H35" s="17"/>
      <c r="I35" s="17"/>
      <c r="J35" s="17"/>
      <c r="K35" s="17" t="s">
        <v>1078</v>
      </c>
      <c r="L35" s="17"/>
      <c r="M35" s="18">
        <f>COUNTIF(E35:L35,"●")</f>
        <v>2</v>
      </c>
      <c r="N35" s="27" t="str">
        <f>IF(M35=0,"GAP","Covered")</f>
        <v>Covered</v>
      </c>
    </row>
    <row r="36" spans="1:14" x14ac:dyDescent="0.25">
      <c r="A36" s="17" t="s">
        <v>290</v>
      </c>
      <c r="B36" s="4" t="s">
        <v>1076</v>
      </c>
      <c r="C36" s="10" t="s">
        <v>1132</v>
      </c>
      <c r="D36" s="6" t="s">
        <v>1133</v>
      </c>
      <c r="E36" s="17" t="s">
        <v>1078</v>
      </c>
      <c r="F36" s="17" t="s">
        <v>1078</v>
      </c>
      <c r="G36" s="17" t="s">
        <v>1078</v>
      </c>
      <c r="H36" s="17" t="s">
        <v>1078</v>
      </c>
      <c r="I36" s="17" t="s">
        <v>1078</v>
      </c>
      <c r="J36" s="17" t="s">
        <v>1078</v>
      </c>
      <c r="K36" s="17" t="s">
        <v>1078</v>
      </c>
      <c r="L36" s="17" t="s">
        <v>1078</v>
      </c>
      <c r="M36" s="18">
        <f>COUNTIF(E36:L36,"●")</f>
        <v>8</v>
      </c>
      <c r="N36" s="27" t="str">
        <f>IF(M36=0,"GAP","Covered")</f>
        <v>Covered</v>
      </c>
    </row>
    <row r="37" spans="1:14" x14ac:dyDescent="0.25">
      <c r="A37" s="17" t="s">
        <v>400</v>
      </c>
      <c r="B37" s="4" t="s">
        <v>1076</v>
      </c>
      <c r="C37" s="10" t="s">
        <v>1134</v>
      </c>
      <c r="D37" s="6" t="s">
        <v>1135</v>
      </c>
      <c r="E37" s="17"/>
      <c r="F37" s="17"/>
      <c r="G37" s="17"/>
      <c r="H37" s="17"/>
      <c r="I37" s="17"/>
      <c r="J37" s="17" t="s">
        <v>1078</v>
      </c>
      <c r="K37" s="17"/>
      <c r="L37" s="17"/>
      <c r="M37" s="18">
        <f>COUNTIF(E37:L37,"●")</f>
        <v>1</v>
      </c>
      <c r="N37" s="27" t="str">
        <f>IF(M37=0,"GAP","Covered")</f>
        <v>Covered</v>
      </c>
    </row>
    <row r="38" spans="1:14" x14ac:dyDescent="0.25">
      <c r="A38" s="17" t="s">
        <v>394</v>
      </c>
      <c r="B38" s="4" t="s">
        <v>1076</v>
      </c>
      <c r="C38" s="10" t="s">
        <v>1136</v>
      </c>
      <c r="D38" s="6" t="s">
        <v>1137</v>
      </c>
      <c r="E38" s="17" t="s">
        <v>1078</v>
      </c>
      <c r="F38" s="17" t="s">
        <v>1078</v>
      </c>
      <c r="G38" s="17" t="s">
        <v>1078</v>
      </c>
      <c r="H38" s="17" t="s">
        <v>1078</v>
      </c>
      <c r="I38" s="17"/>
      <c r="J38" s="17" t="s">
        <v>1078</v>
      </c>
      <c r="K38" s="17"/>
      <c r="L38" s="17"/>
      <c r="M38" s="18">
        <f>COUNTIF(E38:L38,"●")</f>
        <v>5</v>
      </c>
      <c r="N38" s="27" t="str">
        <f>IF(M38=0,"GAP","Covered")</f>
        <v>Covered</v>
      </c>
    </row>
    <row r="39" spans="1:14" x14ac:dyDescent="0.25">
      <c r="A39" s="17" t="s">
        <v>1138</v>
      </c>
      <c r="B39" s="4" t="s">
        <v>1076</v>
      </c>
      <c r="C39" s="10" t="s">
        <v>1139</v>
      </c>
      <c r="D39" s="6" t="s">
        <v>1140</v>
      </c>
      <c r="E39" s="17"/>
      <c r="F39" s="17"/>
      <c r="G39" s="17" t="s">
        <v>1078</v>
      </c>
      <c r="H39" s="17"/>
      <c r="I39" s="17"/>
      <c r="J39" s="17" t="s">
        <v>1078</v>
      </c>
      <c r="K39" s="17"/>
      <c r="L39" s="17"/>
      <c r="M39" s="18">
        <f>COUNTIF(E39:L39,"●")</f>
        <v>2</v>
      </c>
      <c r="N39" s="27" t="str">
        <f>IF(M39=0,"GAP","Covered")</f>
        <v>Covered</v>
      </c>
    </row>
    <row r="40" spans="1:14" x14ac:dyDescent="0.25">
      <c r="A40" s="17" t="s">
        <v>397</v>
      </c>
      <c r="B40" s="4" t="s">
        <v>1076</v>
      </c>
      <c r="C40" s="10" t="s">
        <v>1141</v>
      </c>
      <c r="D40" s="6" t="s">
        <v>1142</v>
      </c>
      <c r="E40" s="17"/>
      <c r="F40" s="17"/>
      <c r="G40" s="17"/>
      <c r="H40" s="17"/>
      <c r="I40" s="17"/>
      <c r="J40" s="17" t="s">
        <v>1078</v>
      </c>
      <c r="K40" s="17"/>
      <c r="L40" s="17"/>
      <c r="M40" s="18">
        <f>COUNTIF(E40:L40,"●")</f>
        <v>1</v>
      </c>
      <c r="N40" s="27" t="str">
        <f>IF(M40=0,"GAP","Covered")</f>
        <v>Covered</v>
      </c>
    </row>
    <row r="41" spans="1:14" x14ac:dyDescent="0.25">
      <c r="A41" s="17" t="s">
        <v>1143</v>
      </c>
      <c r="B41" s="4" t="s">
        <v>1144</v>
      </c>
      <c r="C41" s="10" t="s">
        <v>1145</v>
      </c>
      <c r="D41" s="6" t="s">
        <v>1146</v>
      </c>
      <c r="E41" s="17" t="s">
        <v>1078</v>
      </c>
      <c r="F41" s="17"/>
      <c r="G41" s="17"/>
      <c r="H41" s="17"/>
      <c r="I41" s="17"/>
      <c r="J41" s="17" t="s">
        <v>1078</v>
      </c>
      <c r="K41" s="17" t="s">
        <v>1078</v>
      </c>
      <c r="L41" s="17"/>
      <c r="M41" s="18">
        <f>COUNTIF(E41:L41,"●")</f>
        <v>3</v>
      </c>
      <c r="N41" s="27" t="str">
        <f>IF(M41=0,"GAP","Covered")</f>
        <v>Covered</v>
      </c>
    </row>
    <row r="42" spans="1:14" x14ac:dyDescent="0.25">
      <c r="A42" s="17" t="s">
        <v>1147</v>
      </c>
      <c r="B42" s="4" t="s">
        <v>1144</v>
      </c>
      <c r="C42" s="10" t="s">
        <v>1148</v>
      </c>
      <c r="D42" s="6" t="s">
        <v>1149</v>
      </c>
      <c r="E42" s="17" t="s">
        <v>1078</v>
      </c>
      <c r="F42" s="17"/>
      <c r="G42" s="17"/>
      <c r="H42" s="17"/>
      <c r="I42" s="17"/>
      <c r="J42" s="17"/>
      <c r="K42" s="17" t="s">
        <v>1078</v>
      </c>
      <c r="L42" s="17"/>
      <c r="M42" s="18">
        <f>COUNTIF(E42:L42,"●")</f>
        <v>2</v>
      </c>
      <c r="N42" s="27" t="str">
        <f>IF(M42=0,"GAP","Covered")</f>
        <v>Covered</v>
      </c>
    </row>
    <row r="43" spans="1:14" x14ac:dyDescent="0.25">
      <c r="A43" s="17" t="s">
        <v>1150</v>
      </c>
      <c r="B43" s="4" t="s">
        <v>1144</v>
      </c>
      <c r="C43" s="10" t="s">
        <v>1151</v>
      </c>
      <c r="D43" s="6" t="s">
        <v>1152</v>
      </c>
      <c r="E43" s="17" t="s">
        <v>1078</v>
      </c>
      <c r="F43" s="17"/>
      <c r="G43" s="17"/>
      <c r="H43" s="17"/>
      <c r="I43" s="17"/>
      <c r="J43" s="17"/>
      <c r="K43" s="17" t="s">
        <v>1078</v>
      </c>
      <c r="L43" s="17"/>
      <c r="M43" s="18">
        <f>COUNTIF(E43:L43,"●")</f>
        <v>2</v>
      </c>
      <c r="N43" s="27" t="str">
        <f>IF(M43=0,"GAP","Covered")</f>
        <v>Covered</v>
      </c>
    </row>
    <row r="44" spans="1:14" x14ac:dyDescent="0.25">
      <c r="A44" s="17" t="s">
        <v>1153</v>
      </c>
      <c r="B44" s="4" t="s">
        <v>1144</v>
      </c>
      <c r="C44" s="10" t="s">
        <v>1154</v>
      </c>
      <c r="D44" s="6" t="s">
        <v>1155</v>
      </c>
      <c r="E44" s="17"/>
      <c r="F44" s="17"/>
      <c r="G44" s="17"/>
      <c r="H44" s="17"/>
      <c r="I44" s="17"/>
      <c r="J44" s="17" t="s">
        <v>1078</v>
      </c>
      <c r="K44" s="17" t="s">
        <v>1078</v>
      </c>
      <c r="L44" s="17"/>
      <c r="M44" s="18">
        <f>COUNTIF(E44:L44,"●")</f>
        <v>2</v>
      </c>
      <c r="N44" s="27" t="str">
        <f>IF(M44=0,"GAP","Covered")</f>
        <v>Covered</v>
      </c>
    </row>
    <row r="45" spans="1:14" x14ac:dyDescent="0.25">
      <c r="A45" s="17" t="s">
        <v>1156</v>
      </c>
      <c r="B45" s="4" t="s">
        <v>1157</v>
      </c>
      <c r="C45" s="10" t="s">
        <v>1158</v>
      </c>
      <c r="D45" s="6" t="s">
        <v>1159</v>
      </c>
      <c r="E45" s="17" t="s">
        <v>1078</v>
      </c>
      <c r="F45" s="17" t="s">
        <v>1078</v>
      </c>
      <c r="G45" s="17" t="s">
        <v>1078</v>
      </c>
      <c r="H45" s="17" t="s">
        <v>1078</v>
      </c>
      <c r="I45" s="17" t="s">
        <v>1078</v>
      </c>
      <c r="J45" s="17" t="s">
        <v>1078</v>
      </c>
      <c r="K45" s="17" t="s">
        <v>1078</v>
      </c>
      <c r="L45" s="17" t="s">
        <v>1078</v>
      </c>
      <c r="M45" s="18">
        <f>COUNTIF(E45:L45,"●")</f>
        <v>8</v>
      </c>
      <c r="N45" s="27" t="str">
        <f>IF(M45=0,"GAP","Covered")</f>
        <v>Covered</v>
      </c>
    </row>
    <row r="46" spans="1:14" x14ac:dyDescent="0.25">
      <c r="A46" s="17" t="s">
        <v>1160</v>
      </c>
      <c r="B46" s="4" t="s">
        <v>1157</v>
      </c>
      <c r="C46" s="10" t="s">
        <v>1161</v>
      </c>
      <c r="D46" s="6" t="s">
        <v>1162</v>
      </c>
      <c r="E46" s="17" t="s">
        <v>1078</v>
      </c>
      <c r="F46" s="17" t="s">
        <v>1078</v>
      </c>
      <c r="G46" s="17" t="s">
        <v>1078</v>
      </c>
      <c r="H46" s="17" t="s">
        <v>1078</v>
      </c>
      <c r="I46" s="17" t="s">
        <v>1078</v>
      </c>
      <c r="J46" s="17" t="s">
        <v>1078</v>
      </c>
      <c r="K46" s="17"/>
      <c r="L46" s="17"/>
      <c r="M46" s="18">
        <f>COUNTIF(E46:L46,"●")</f>
        <v>6</v>
      </c>
      <c r="N46" s="27" t="str">
        <f>IF(M46=0,"GAP","Covered")</f>
        <v>Covered</v>
      </c>
    </row>
    <row r="47" spans="1:14" x14ac:dyDescent="0.25">
      <c r="A47" s="17" t="s">
        <v>1163</v>
      </c>
      <c r="B47" s="4" t="s">
        <v>1157</v>
      </c>
      <c r="C47" s="10" t="s">
        <v>1164</v>
      </c>
      <c r="D47" s="6" t="s">
        <v>1165</v>
      </c>
      <c r="E47" s="17" t="s">
        <v>1078</v>
      </c>
      <c r="F47" s="17" t="s">
        <v>1078</v>
      </c>
      <c r="G47" s="17" t="s">
        <v>1078</v>
      </c>
      <c r="H47" s="17" t="s">
        <v>1078</v>
      </c>
      <c r="I47" s="17" t="s">
        <v>1078</v>
      </c>
      <c r="J47" s="17" t="s">
        <v>1078</v>
      </c>
      <c r="K47" s="17"/>
      <c r="L47" s="17"/>
      <c r="M47" s="18">
        <f>COUNTIF(E47:L47,"●")</f>
        <v>6</v>
      </c>
      <c r="N47" s="27" t="str">
        <f>IF(M47=0,"GAP","Covered")</f>
        <v>Covered</v>
      </c>
    </row>
    <row r="48" spans="1:14" x14ac:dyDescent="0.25">
      <c r="A48" s="17" t="s">
        <v>1166</v>
      </c>
      <c r="B48" s="4" t="s">
        <v>1157</v>
      </c>
      <c r="C48" s="10" t="s">
        <v>1167</v>
      </c>
      <c r="D48" s="6" t="s">
        <v>1168</v>
      </c>
      <c r="E48" s="17" t="s">
        <v>1078</v>
      </c>
      <c r="F48" s="17" t="s">
        <v>1078</v>
      </c>
      <c r="G48" s="17" t="s">
        <v>1078</v>
      </c>
      <c r="H48" s="17" t="s">
        <v>1078</v>
      </c>
      <c r="I48" s="17" t="s">
        <v>1078</v>
      </c>
      <c r="J48" s="17" t="s">
        <v>1078</v>
      </c>
      <c r="K48" s="17" t="s">
        <v>1078</v>
      </c>
      <c r="L48" s="17" t="s">
        <v>1078</v>
      </c>
      <c r="M48" s="18">
        <f>COUNTIF(E48:L48,"●")</f>
        <v>8</v>
      </c>
      <c r="N48" s="27" t="str">
        <f>IF(M48=0,"GAP","Covered")</f>
        <v>Covered</v>
      </c>
    </row>
    <row r="49" spans="1:14" x14ac:dyDescent="0.25">
      <c r="A49" s="17" t="s">
        <v>1169</v>
      </c>
      <c r="B49" s="4" t="s">
        <v>1157</v>
      </c>
      <c r="C49" s="10" t="s">
        <v>1170</v>
      </c>
      <c r="D49" s="6" t="s">
        <v>1171</v>
      </c>
      <c r="E49" s="17" t="s">
        <v>1078</v>
      </c>
      <c r="F49" s="17" t="s">
        <v>1078</v>
      </c>
      <c r="G49" s="17" t="s">
        <v>1078</v>
      </c>
      <c r="H49" s="17" t="s">
        <v>1078</v>
      </c>
      <c r="I49" s="17" t="s">
        <v>1078</v>
      </c>
      <c r="J49" s="17" t="s">
        <v>1078</v>
      </c>
      <c r="K49" s="17" t="s">
        <v>1078</v>
      </c>
      <c r="L49" s="17" t="s">
        <v>1078</v>
      </c>
      <c r="M49" s="18">
        <f>COUNTIF(E49:L49,"●")</f>
        <v>8</v>
      </c>
      <c r="N49" s="27" t="str">
        <f>IF(M49=0,"GAP","Covered")</f>
        <v>Covered</v>
      </c>
    </row>
    <row r="50" spans="1:14" x14ac:dyDescent="0.25">
      <c r="A50" s="17" t="s">
        <v>1172</v>
      </c>
      <c r="B50" s="4" t="s">
        <v>1157</v>
      </c>
      <c r="C50" s="10" t="s">
        <v>1173</v>
      </c>
      <c r="D50" s="6" t="s">
        <v>1174</v>
      </c>
      <c r="E50" s="17" t="s">
        <v>1078</v>
      </c>
      <c r="F50" s="17" t="s">
        <v>1078</v>
      </c>
      <c r="G50" s="17" t="s">
        <v>1078</v>
      </c>
      <c r="H50" s="17" t="s">
        <v>1078</v>
      </c>
      <c r="I50" s="17" t="s">
        <v>1078</v>
      </c>
      <c r="J50" s="17" t="s">
        <v>1078</v>
      </c>
      <c r="K50" s="17" t="s">
        <v>1078</v>
      </c>
      <c r="L50" s="17" t="s">
        <v>1078</v>
      </c>
      <c r="M50" s="18">
        <f>COUNTIF(E50:L50,"●")</f>
        <v>8</v>
      </c>
      <c r="N50" s="27" t="str">
        <f>IF(M50=0,"GAP","Covered")</f>
        <v>Covered</v>
      </c>
    </row>
    <row r="51" spans="1:14" x14ac:dyDescent="0.25">
      <c r="A51" s="17" t="s">
        <v>1175</v>
      </c>
      <c r="B51" s="4" t="s">
        <v>1157</v>
      </c>
      <c r="C51" s="10" t="s">
        <v>1176</v>
      </c>
      <c r="D51" s="6" t="s">
        <v>1177</v>
      </c>
      <c r="E51" s="17"/>
      <c r="F51" s="17"/>
      <c r="G51" s="17"/>
      <c r="H51" s="17"/>
      <c r="I51" s="17"/>
      <c r="J51" s="17" t="s">
        <v>1078</v>
      </c>
      <c r="K51" s="17" t="s">
        <v>1078</v>
      </c>
      <c r="L51" s="17"/>
      <c r="M51" s="18">
        <f>COUNTIF(E51:L51,"●")</f>
        <v>2</v>
      </c>
      <c r="N51" s="27" t="str">
        <f>IF(M51=0,"GAP","Covered")</f>
        <v>Covered</v>
      </c>
    </row>
    <row r="52" spans="1:14" x14ac:dyDescent="0.25">
      <c r="A52" s="17" t="s">
        <v>1178</v>
      </c>
      <c r="B52" s="4" t="s">
        <v>1157</v>
      </c>
      <c r="C52" s="10" t="s">
        <v>1179</v>
      </c>
      <c r="D52" s="6" t="s">
        <v>1180</v>
      </c>
      <c r="E52" s="17" t="s">
        <v>1078</v>
      </c>
      <c r="F52" s="17" t="s">
        <v>1078</v>
      </c>
      <c r="G52" s="17" t="s">
        <v>1078</v>
      </c>
      <c r="H52" s="17" t="s">
        <v>1078</v>
      </c>
      <c r="I52" s="17" t="s">
        <v>1078</v>
      </c>
      <c r="J52" s="17" t="s">
        <v>1078</v>
      </c>
      <c r="K52" s="17" t="s">
        <v>1078</v>
      </c>
      <c r="L52" s="17" t="s">
        <v>1078</v>
      </c>
      <c r="M52" s="18">
        <f>COUNTIF(E52:L52,"●")</f>
        <v>8</v>
      </c>
      <c r="N52" s="27" t="str">
        <f>IF(M52=0,"GAP","Covered")</f>
        <v>Covered</v>
      </c>
    </row>
    <row r="53" spans="1:14" x14ac:dyDescent="0.25">
      <c r="A53" s="17" t="s">
        <v>1181</v>
      </c>
      <c r="B53" s="4" t="s">
        <v>1157</v>
      </c>
      <c r="C53" s="10" t="s">
        <v>1182</v>
      </c>
      <c r="D53" s="6" t="s">
        <v>1183</v>
      </c>
      <c r="E53" s="17"/>
      <c r="F53" s="17"/>
      <c r="G53" s="17"/>
      <c r="H53" s="17"/>
      <c r="I53" s="17"/>
      <c r="J53" s="17" t="s">
        <v>1078</v>
      </c>
      <c r="K53" s="17"/>
      <c r="L53" s="17"/>
      <c r="M53" s="18">
        <f>COUNTIF(E53:L53,"●")</f>
        <v>1</v>
      </c>
      <c r="N53" s="27" t="str">
        <f>IF(M53=0,"GAP","Covered")</f>
        <v>Covered</v>
      </c>
    </row>
    <row r="54" spans="1:14" x14ac:dyDescent="0.25">
      <c r="A54" s="17" t="s">
        <v>1184</v>
      </c>
      <c r="B54" s="4" t="s">
        <v>1157</v>
      </c>
      <c r="C54" s="10" t="s">
        <v>1185</v>
      </c>
      <c r="D54" s="6" t="s">
        <v>1186</v>
      </c>
      <c r="E54" s="17"/>
      <c r="F54" s="17"/>
      <c r="G54" s="17"/>
      <c r="H54" s="17"/>
      <c r="I54" s="17"/>
      <c r="J54" s="17"/>
      <c r="K54" s="17" t="s">
        <v>1078</v>
      </c>
      <c r="L54" s="17"/>
      <c r="M54" s="18">
        <f>COUNTIF(E54:L54,"●")</f>
        <v>1</v>
      </c>
      <c r="N54" s="27" t="str">
        <f>IF(M54=0,"GAP","Covered")</f>
        <v>Covered</v>
      </c>
    </row>
    <row r="55" spans="1:14" x14ac:dyDescent="0.25">
      <c r="A55" s="17" t="s">
        <v>1187</v>
      </c>
      <c r="B55" s="4" t="s">
        <v>1157</v>
      </c>
      <c r="C55" s="10" t="s">
        <v>1188</v>
      </c>
      <c r="D55" s="6" t="s">
        <v>1189</v>
      </c>
      <c r="E55" s="17" t="s">
        <v>1078</v>
      </c>
      <c r="F55" s="17"/>
      <c r="G55" s="17"/>
      <c r="H55" s="17"/>
      <c r="I55" s="17"/>
      <c r="J55" s="17"/>
      <c r="K55" s="17"/>
      <c r="L55" s="17"/>
      <c r="M55" s="18">
        <f>COUNTIF(E55:L55,"●")</f>
        <v>1</v>
      </c>
      <c r="N55" s="27" t="str">
        <f>IF(M55=0,"GAP","Covered")</f>
        <v>Covered</v>
      </c>
    </row>
    <row r="56" spans="1:14" x14ac:dyDescent="0.25">
      <c r="A56" s="17" t="s">
        <v>1190</v>
      </c>
      <c r="B56" s="4" t="s">
        <v>1157</v>
      </c>
      <c r="C56" s="10" t="s">
        <v>1191</v>
      </c>
      <c r="D56" s="6" t="s">
        <v>1192</v>
      </c>
      <c r="E56" s="17" t="s">
        <v>1078</v>
      </c>
      <c r="F56" s="17" t="s">
        <v>1078</v>
      </c>
      <c r="G56" s="17" t="s">
        <v>1078</v>
      </c>
      <c r="H56" s="17"/>
      <c r="I56" s="17"/>
      <c r="J56" s="17"/>
      <c r="K56" s="17"/>
      <c r="L56" s="17"/>
      <c r="M56" s="18">
        <f>COUNTIF(E56:L56,"●")</f>
        <v>3</v>
      </c>
      <c r="N56" s="27" t="str">
        <f>IF(M56=0,"GAP","Covered")</f>
        <v>Covered</v>
      </c>
    </row>
    <row r="57" spans="1:14" x14ac:dyDescent="0.25">
      <c r="A57" s="17" t="s">
        <v>1193</v>
      </c>
      <c r="B57" s="4" t="s">
        <v>1194</v>
      </c>
      <c r="C57" s="10" t="s">
        <v>1195</v>
      </c>
      <c r="D57" s="6" t="s">
        <v>1196</v>
      </c>
      <c r="E57" s="17" t="s">
        <v>1078</v>
      </c>
      <c r="F57" s="17" t="s">
        <v>1078</v>
      </c>
      <c r="G57" s="17" t="s">
        <v>1078</v>
      </c>
      <c r="H57" s="17" t="s">
        <v>1078</v>
      </c>
      <c r="I57" s="17" t="s">
        <v>1078</v>
      </c>
      <c r="J57" s="17" t="s">
        <v>1078</v>
      </c>
      <c r="K57" s="17" t="s">
        <v>1078</v>
      </c>
      <c r="L57" s="17" t="s">
        <v>1078</v>
      </c>
      <c r="M57" s="18">
        <f>COUNTIF(E57:L57,"●")</f>
        <v>8</v>
      </c>
      <c r="N57" s="27" t="str">
        <f>IF(M57=0,"GAP","Covered")</f>
        <v>Covered</v>
      </c>
    </row>
    <row r="58" spans="1:14" x14ac:dyDescent="0.25">
      <c r="A58" s="17" t="s">
        <v>200</v>
      </c>
      <c r="B58" s="4" t="s">
        <v>1194</v>
      </c>
      <c r="C58" s="10" t="s">
        <v>1197</v>
      </c>
      <c r="D58" s="6" t="s">
        <v>1198</v>
      </c>
      <c r="E58" s="17" t="s">
        <v>1078</v>
      </c>
      <c r="F58" s="17" t="s">
        <v>1078</v>
      </c>
      <c r="G58" s="17" t="s">
        <v>1078</v>
      </c>
      <c r="H58" s="17" t="s">
        <v>1078</v>
      </c>
      <c r="I58" s="17" t="s">
        <v>1078</v>
      </c>
      <c r="J58" s="17" t="s">
        <v>1078</v>
      </c>
      <c r="K58" s="17"/>
      <c r="L58" s="17" t="s">
        <v>1078</v>
      </c>
      <c r="M58" s="18">
        <f>COUNTIF(E58:L58,"●")</f>
        <v>7</v>
      </c>
      <c r="N58" s="27" t="str">
        <f>IF(M58=0,"GAP","Covered")</f>
        <v>Covered</v>
      </c>
    </row>
    <row r="59" spans="1:14" x14ac:dyDescent="0.25">
      <c r="A59" s="17" t="s">
        <v>1199</v>
      </c>
      <c r="B59" s="4" t="s">
        <v>1194</v>
      </c>
      <c r="C59" s="10" t="s">
        <v>1182</v>
      </c>
      <c r="D59" s="6" t="s">
        <v>1200</v>
      </c>
      <c r="E59" s="17"/>
      <c r="F59" s="17"/>
      <c r="G59" s="17"/>
      <c r="H59" s="17"/>
      <c r="I59" s="17"/>
      <c r="J59" s="17"/>
      <c r="K59" s="17" t="s">
        <v>1078</v>
      </c>
      <c r="L59" s="17"/>
      <c r="M59" s="18">
        <f>COUNTIF(E59:L59,"●")</f>
        <v>1</v>
      </c>
      <c r="N59" s="27" t="str">
        <f>IF(M59=0,"GAP","Covered")</f>
        <v>Covered</v>
      </c>
    </row>
    <row r="60" spans="1:14" x14ac:dyDescent="0.25">
      <c r="A60" s="17" t="s">
        <v>1201</v>
      </c>
      <c r="B60" s="4" t="s">
        <v>1194</v>
      </c>
      <c r="C60" s="10" t="s">
        <v>1185</v>
      </c>
      <c r="D60" s="6" t="s">
        <v>1186</v>
      </c>
      <c r="E60" s="17"/>
      <c r="F60" s="17"/>
      <c r="G60" s="17"/>
      <c r="H60" s="17"/>
      <c r="I60" s="17"/>
      <c r="J60" s="17"/>
      <c r="K60" s="17" t="s">
        <v>1078</v>
      </c>
      <c r="L60" s="17"/>
      <c r="M60" s="18">
        <f>COUNTIF(E60:L60,"●")</f>
        <v>1</v>
      </c>
      <c r="N60" s="27" t="str">
        <f>IF(M60=0,"GAP","Covered")</f>
        <v>Covered</v>
      </c>
    </row>
    <row r="61" spans="1:14" x14ac:dyDescent="0.25">
      <c r="A61" s="17" t="s">
        <v>1202</v>
      </c>
      <c r="B61" s="4" t="s">
        <v>1194</v>
      </c>
      <c r="C61" s="10" t="s">
        <v>1176</v>
      </c>
      <c r="D61" s="6" t="s">
        <v>1203</v>
      </c>
      <c r="E61" s="17"/>
      <c r="F61" s="17"/>
      <c r="G61" s="17"/>
      <c r="H61" s="17"/>
      <c r="I61" s="17"/>
      <c r="J61" s="17"/>
      <c r="K61" s="17" t="s">
        <v>1078</v>
      </c>
      <c r="L61" s="17"/>
      <c r="M61" s="18">
        <f>COUNTIF(E61:L61,"●")</f>
        <v>1</v>
      </c>
      <c r="N61" s="27" t="str">
        <f>IF(M61=0,"GAP","Covered")</f>
        <v>Covered</v>
      </c>
    </row>
    <row r="62" spans="1:14" x14ac:dyDescent="0.25">
      <c r="A62" s="17" t="s">
        <v>1204</v>
      </c>
      <c r="B62" s="4" t="s">
        <v>1194</v>
      </c>
      <c r="C62" s="10" t="s">
        <v>1188</v>
      </c>
      <c r="D62" s="6" t="s">
        <v>1205</v>
      </c>
      <c r="E62" s="17"/>
      <c r="F62" s="17"/>
      <c r="G62" s="17"/>
      <c r="H62" s="17"/>
      <c r="I62" s="17"/>
      <c r="J62" s="17"/>
      <c r="K62" s="17" t="s">
        <v>1078</v>
      </c>
      <c r="L62" s="17"/>
      <c r="M62" s="18">
        <f>COUNTIF(E62:L62,"●")</f>
        <v>1</v>
      </c>
      <c r="N62" s="27" t="str">
        <f>IF(M62=0,"GAP","Covered")</f>
        <v>Covered</v>
      </c>
    </row>
    <row r="63" spans="1:14" x14ac:dyDescent="0.25">
      <c r="A63" s="17" t="s">
        <v>1206</v>
      </c>
      <c r="B63" s="4" t="s">
        <v>1194</v>
      </c>
      <c r="C63" s="10" t="s">
        <v>1207</v>
      </c>
      <c r="D63" s="6" t="s">
        <v>1208</v>
      </c>
      <c r="E63" s="17" t="s">
        <v>1078</v>
      </c>
      <c r="F63" s="17" t="s">
        <v>1078</v>
      </c>
      <c r="G63" s="17" t="s">
        <v>1078</v>
      </c>
      <c r="H63" s="17" t="s">
        <v>1078</v>
      </c>
      <c r="I63" s="17" t="s">
        <v>1078</v>
      </c>
      <c r="J63" s="17" t="s">
        <v>1078</v>
      </c>
      <c r="K63" s="17"/>
      <c r="L63" s="17"/>
      <c r="M63" s="18">
        <f>COUNTIF(E63:L63,"●")</f>
        <v>6</v>
      </c>
      <c r="N63" s="27" t="str">
        <f>IF(M63=0,"GAP","Covered")</f>
        <v>Covered</v>
      </c>
    </row>
    <row r="64" spans="1:14" x14ac:dyDescent="0.25">
      <c r="A64" s="17" t="s">
        <v>207</v>
      </c>
      <c r="B64" s="4" t="s">
        <v>1209</v>
      </c>
      <c r="C64" s="10" t="s">
        <v>1210</v>
      </c>
      <c r="D64" s="6" t="s">
        <v>1211</v>
      </c>
      <c r="E64" s="17" t="s">
        <v>1078</v>
      </c>
      <c r="F64" s="17" t="s">
        <v>1078</v>
      </c>
      <c r="G64" s="17"/>
      <c r="H64" s="17" t="s">
        <v>1078</v>
      </c>
      <c r="I64" s="17"/>
      <c r="J64" s="17"/>
      <c r="K64" s="17"/>
      <c r="L64" s="17" t="s">
        <v>1078</v>
      </c>
      <c r="M64" s="18">
        <f>COUNTIF(E64:L64,"●")</f>
        <v>4</v>
      </c>
      <c r="N64" s="27" t="str">
        <f>IF(M64=0,"GAP","Covered")</f>
        <v>Covered</v>
      </c>
    </row>
    <row r="65" spans="1:14" x14ac:dyDescent="0.25">
      <c r="A65" s="17" t="s">
        <v>1212</v>
      </c>
      <c r="B65" s="4" t="s">
        <v>1209</v>
      </c>
      <c r="C65" s="10" t="s">
        <v>678</v>
      </c>
      <c r="D65" s="6" t="s">
        <v>1213</v>
      </c>
      <c r="E65" s="17" t="s">
        <v>1078</v>
      </c>
      <c r="F65" s="17"/>
      <c r="G65" s="17"/>
      <c r="H65" s="17"/>
      <c r="I65" s="17"/>
      <c r="J65" s="17"/>
      <c r="K65" s="17"/>
      <c r="L65" s="17"/>
      <c r="M65" s="18">
        <f>COUNTIF(E65:L65,"●")</f>
        <v>1</v>
      </c>
      <c r="N65" s="27" t="str">
        <f>IF(M65=0,"GAP","Covered")</f>
        <v>Covered</v>
      </c>
    </row>
    <row r="66" spans="1:14" x14ac:dyDescent="0.25">
      <c r="A66" s="17" t="s">
        <v>1214</v>
      </c>
      <c r="B66" s="4" t="s">
        <v>1209</v>
      </c>
      <c r="C66" s="10" t="s">
        <v>680</v>
      </c>
      <c r="D66" s="6" t="s">
        <v>1215</v>
      </c>
      <c r="E66" s="17" t="s">
        <v>1078</v>
      </c>
      <c r="F66" s="17"/>
      <c r="G66" s="17"/>
      <c r="H66" s="17" t="s">
        <v>1078</v>
      </c>
      <c r="I66" s="17"/>
      <c r="J66" s="17"/>
      <c r="K66" s="17"/>
      <c r="L66" s="17"/>
      <c r="M66" s="18">
        <f>COUNTIF(E66:L66,"●")</f>
        <v>2</v>
      </c>
      <c r="N66" s="27" t="str">
        <f>IF(M66=0,"GAP","Covered")</f>
        <v>Covered</v>
      </c>
    </row>
    <row r="67" spans="1:14" x14ac:dyDescent="0.25">
      <c r="A67" s="17" t="s">
        <v>1216</v>
      </c>
      <c r="B67" s="4" t="s">
        <v>1209</v>
      </c>
      <c r="C67" s="10" t="s">
        <v>681</v>
      </c>
      <c r="D67" s="6" t="s">
        <v>1217</v>
      </c>
      <c r="E67" s="17"/>
      <c r="F67" s="17"/>
      <c r="G67" s="17"/>
      <c r="H67" s="17" t="s">
        <v>1078</v>
      </c>
      <c r="I67" s="17"/>
      <c r="J67" s="17"/>
      <c r="K67" s="17"/>
      <c r="L67" s="17"/>
      <c r="M67" s="18">
        <f>COUNTIF(E67:L67,"●")</f>
        <v>1</v>
      </c>
      <c r="N67" s="27" t="str">
        <f>IF(M67=0,"GAP","Covered")</f>
        <v>Covered</v>
      </c>
    </row>
    <row r="68" spans="1:14" x14ac:dyDescent="0.25">
      <c r="A68" s="17" t="s">
        <v>1218</v>
      </c>
      <c r="B68" s="4" t="s">
        <v>1209</v>
      </c>
      <c r="C68" s="10" t="s">
        <v>1102</v>
      </c>
      <c r="D68" s="6" t="s">
        <v>1219</v>
      </c>
      <c r="E68" s="17"/>
      <c r="F68" s="17" t="s">
        <v>1078</v>
      </c>
      <c r="G68" s="17"/>
      <c r="H68" s="17" t="s">
        <v>1078</v>
      </c>
      <c r="I68" s="17"/>
      <c r="J68" s="17"/>
      <c r="K68" s="17"/>
      <c r="L68" s="17"/>
      <c r="M68" s="18">
        <f>COUNTIF(E68:L68,"●")</f>
        <v>2</v>
      </c>
      <c r="N68" s="27" t="str">
        <f>IF(M68=0,"GAP","Covered")</f>
        <v>Covered</v>
      </c>
    </row>
    <row r="69" spans="1:14" x14ac:dyDescent="0.25">
      <c r="A69" s="17" t="s">
        <v>1220</v>
      </c>
      <c r="B69" s="4" t="s">
        <v>1209</v>
      </c>
      <c r="C69" s="10" t="s">
        <v>1221</v>
      </c>
      <c r="D69" s="6" t="s">
        <v>1222</v>
      </c>
      <c r="E69" s="17" t="s">
        <v>1078</v>
      </c>
      <c r="F69" s="17" t="s">
        <v>1078</v>
      </c>
      <c r="G69" s="17"/>
      <c r="H69" s="17" t="s">
        <v>1078</v>
      </c>
      <c r="I69" s="17"/>
      <c r="J69" s="17"/>
      <c r="K69" s="17"/>
      <c r="L69" s="17" t="s">
        <v>1078</v>
      </c>
      <c r="M69" s="18">
        <f>COUNTIF(E69:L69,"●")</f>
        <v>4</v>
      </c>
      <c r="N69" s="27" t="str">
        <f>IF(M69=0,"GAP","Covered")</f>
        <v>Covered</v>
      </c>
    </row>
    <row r="70" spans="1:14" x14ac:dyDescent="0.25">
      <c r="A70" s="17" t="s">
        <v>1223</v>
      </c>
      <c r="B70" s="4" t="s">
        <v>1209</v>
      </c>
      <c r="C70" s="10" t="s">
        <v>1224</v>
      </c>
      <c r="D70" s="6" t="s">
        <v>1225</v>
      </c>
      <c r="E70" s="17" t="s">
        <v>1078</v>
      </c>
      <c r="F70" s="17" t="s">
        <v>1078</v>
      </c>
      <c r="G70" s="17"/>
      <c r="H70" s="17" t="s">
        <v>1078</v>
      </c>
      <c r="I70" s="17"/>
      <c r="J70" s="17"/>
      <c r="K70" s="17"/>
      <c r="L70" s="17" t="s">
        <v>1078</v>
      </c>
      <c r="M70" s="18">
        <f>COUNTIF(E70:L70,"●")</f>
        <v>4</v>
      </c>
      <c r="N70" s="27" t="str">
        <f>IF(M70=0,"GAP","Covered")</f>
        <v>Covered</v>
      </c>
    </row>
    <row r="71" spans="1:14" x14ac:dyDescent="0.25">
      <c r="A71" s="17" t="s">
        <v>1226</v>
      </c>
      <c r="B71" s="4" t="s">
        <v>1209</v>
      </c>
      <c r="C71" s="10" t="s">
        <v>1227</v>
      </c>
      <c r="D71" s="6" t="s">
        <v>1228</v>
      </c>
      <c r="E71" s="17"/>
      <c r="F71" s="17" t="s">
        <v>1078</v>
      </c>
      <c r="G71" s="17"/>
      <c r="H71" s="17"/>
      <c r="I71" s="17"/>
      <c r="J71" s="17"/>
      <c r="K71" s="17"/>
      <c r="L71" s="17" t="s">
        <v>1078</v>
      </c>
      <c r="M71" s="18">
        <f>COUNTIF(E71:L71,"●")</f>
        <v>2</v>
      </c>
      <c r="N71" s="27" t="str">
        <f>IF(M71=0,"GAP","Covered")</f>
        <v>Covered</v>
      </c>
    </row>
    <row r="72" spans="1:14" x14ac:dyDescent="0.25">
      <c r="A72" s="17" t="s">
        <v>1229</v>
      </c>
      <c r="B72" s="4" t="s">
        <v>1209</v>
      </c>
      <c r="C72" s="10" t="s">
        <v>1230</v>
      </c>
      <c r="D72" s="6" t="s">
        <v>1231</v>
      </c>
      <c r="E72" s="17"/>
      <c r="F72" s="17" t="s">
        <v>1078</v>
      </c>
      <c r="G72" s="17"/>
      <c r="H72" s="17" t="s">
        <v>1078</v>
      </c>
      <c r="I72" s="17"/>
      <c r="J72" s="17"/>
      <c r="K72" s="17"/>
      <c r="L72" s="17"/>
      <c r="M72" s="18">
        <f>COUNTIF(E72:L72,"●")</f>
        <v>2</v>
      </c>
      <c r="N72" s="27" t="str">
        <f>IF(M72=0,"GAP","Covered")</f>
        <v>Covered</v>
      </c>
    </row>
    <row r="73" spans="1:14" x14ac:dyDescent="0.25">
      <c r="A73" s="17" t="s">
        <v>1232</v>
      </c>
      <c r="B73" s="4" t="s">
        <v>1209</v>
      </c>
      <c r="C73" s="10" t="s">
        <v>1233</v>
      </c>
      <c r="D73" s="6" t="s">
        <v>1234</v>
      </c>
      <c r="E73" s="17"/>
      <c r="F73" s="17" t="s">
        <v>1078</v>
      </c>
      <c r="G73" s="17"/>
      <c r="H73" s="17"/>
      <c r="I73" s="17"/>
      <c r="J73" s="17"/>
      <c r="K73" s="17"/>
      <c r="L73" s="17"/>
      <c r="M73" s="18">
        <f>COUNTIF(E73:L73,"●")</f>
        <v>1</v>
      </c>
      <c r="N73" s="27" t="str">
        <f>IF(M73=0,"GAP","Covered")</f>
        <v>Covered</v>
      </c>
    </row>
    <row r="74" spans="1:14" x14ac:dyDescent="0.25">
      <c r="A74" s="17" t="s">
        <v>1235</v>
      </c>
      <c r="B74" s="4" t="s">
        <v>1209</v>
      </c>
      <c r="C74" s="10" t="s">
        <v>1236</v>
      </c>
      <c r="D74" s="6" t="s">
        <v>1237</v>
      </c>
      <c r="E74" s="17"/>
      <c r="F74" s="17" t="s">
        <v>1078</v>
      </c>
      <c r="G74" s="17"/>
      <c r="H74" s="17"/>
      <c r="I74" s="17"/>
      <c r="J74" s="17"/>
      <c r="K74" s="17"/>
      <c r="L74" s="17"/>
      <c r="M74" s="18">
        <f>COUNTIF(E74:L74,"●")</f>
        <v>1</v>
      </c>
      <c r="N74" s="27" t="str">
        <f>IF(M74=0,"GAP","Covered")</f>
        <v>Covered</v>
      </c>
    </row>
    <row r="75" spans="1:14" x14ac:dyDescent="0.25">
      <c r="A75" s="17" t="s">
        <v>1238</v>
      </c>
      <c r="B75" s="4" t="s">
        <v>1209</v>
      </c>
      <c r="C75" s="10" t="s">
        <v>1239</v>
      </c>
      <c r="D75" s="6" t="s">
        <v>1240</v>
      </c>
      <c r="E75" s="17"/>
      <c r="F75" s="17" t="s">
        <v>1078</v>
      </c>
      <c r="G75" s="17"/>
      <c r="H75" s="17"/>
      <c r="I75" s="17"/>
      <c r="J75" s="17"/>
      <c r="K75" s="17"/>
      <c r="L75" s="17"/>
      <c r="M75" s="18">
        <f>COUNTIF(E75:L75,"●")</f>
        <v>1</v>
      </c>
      <c r="N75" s="27" t="str">
        <f>IF(M75=0,"GAP","Covered")</f>
        <v>Covered</v>
      </c>
    </row>
    <row r="76" spans="1:14" x14ac:dyDescent="0.25">
      <c r="A76" s="17" t="s">
        <v>1241</v>
      </c>
      <c r="B76" s="4" t="s">
        <v>1209</v>
      </c>
      <c r="C76" s="10" t="s">
        <v>1130</v>
      </c>
      <c r="D76" s="6" t="s">
        <v>1242</v>
      </c>
      <c r="E76" s="17" t="s">
        <v>1078</v>
      </c>
      <c r="F76" s="17" t="s">
        <v>1078</v>
      </c>
      <c r="G76" s="17"/>
      <c r="H76" s="17" t="s">
        <v>1078</v>
      </c>
      <c r="I76" s="17"/>
      <c r="J76" s="17"/>
      <c r="K76" s="17"/>
      <c r="L76" s="17"/>
      <c r="M76" s="18">
        <f>COUNTIF(E76:L76,"●")</f>
        <v>3</v>
      </c>
      <c r="N76" s="27" t="str">
        <f>IF(M76=0,"GAP","Covered")</f>
        <v>Covered</v>
      </c>
    </row>
    <row r="77" spans="1:14" x14ac:dyDescent="0.25">
      <c r="A77" s="17" t="s">
        <v>219</v>
      </c>
      <c r="B77" s="4" t="s">
        <v>1209</v>
      </c>
      <c r="C77" s="10" t="s">
        <v>1243</v>
      </c>
      <c r="D77" s="6" t="s">
        <v>1244</v>
      </c>
      <c r="E77" s="17" t="s">
        <v>1078</v>
      </c>
      <c r="F77" s="17" t="s">
        <v>1078</v>
      </c>
      <c r="G77" s="17"/>
      <c r="H77" s="17" t="s">
        <v>1078</v>
      </c>
      <c r="I77" s="17"/>
      <c r="J77" s="17"/>
      <c r="K77" s="17"/>
      <c r="L77" s="17" t="s">
        <v>1078</v>
      </c>
      <c r="M77" s="18">
        <f>COUNTIF(E77:L77,"●")</f>
        <v>4</v>
      </c>
      <c r="N77" s="27" t="str">
        <f>IF(M77=0,"GAP","Covered")</f>
        <v>Covered</v>
      </c>
    </row>
    <row r="78" spans="1:14" x14ac:dyDescent="0.25">
      <c r="A78" s="17" t="s">
        <v>1245</v>
      </c>
      <c r="B78" s="4" t="s">
        <v>1209</v>
      </c>
      <c r="C78" s="10" t="s">
        <v>1134</v>
      </c>
      <c r="D78" s="6" t="s">
        <v>1135</v>
      </c>
      <c r="E78" s="17"/>
      <c r="F78" s="17" t="s">
        <v>1078</v>
      </c>
      <c r="G78" s="17"/>
      <c r="H78" s="17"/>
      <c r="I78" s="17"/>
      <c r="J78" s="17"/>
      <c r="K78" s="17"/>
      <c r="L78" s="17"/>
      <c r="M78" s="18">
        <f>COUNTIF(E78:L78,"●")</f>
        <v>1</v>
      </c>
      <c r="N78" s="27" t="str">
        <f>IF(M78=0,"GAP","Covered")</f>
        <v>Covered</v>
      </c>
    </row>
    <row r="79" spans="1:14" x14ac:dyDescent="0.25">
      <c r="A79" s="17" t="s">
        <v>512</v>
      </c>
      <c r="B79" s="4" t="s">
        <v>1209</v>
      </c>
      <c r="C79" s="10" t="s">
        <v>1246</v>
      </c>
      <c r="D79" s="6" t="s">
        <v>1247</v>
      </c>
      <c r="E79" s="17" t="s">
        <v>1078</v>
      </c>
      <c r="F79" s="17" t="s">
        <v>1078</v>
      </c>
      <c r="G79" s="17"/>
      <c r="H79" s="17" t="s">
        <v>1078</v>
      </c>
      <c r="I79" s="17"/>
      <c r="J79" s="17"/>
      <c r="K79" s="17"/>
      <c r="L79" s="17" t="s">
        <v>1078</v>
      </c>
      <c r="M79" s="18">
        <f>COUNTIF(E79:L79,"●")</f>
        <v>4</v>
      </c>
      <c r="N79" s="27" t="str">
        <f>IF(M79=0,"GAP","Covered")</f>
        <v>Covered</v>
      </c>
    </row>
    <row r="80" spans="1:14" x14ac:dyDescent="0.25">
      <c r="A80" s="17" t="s">
        <v>260</v>
      </c>
      <c r="B80" s="4" t="s">
        <v>1209</v>
      </c>
      <c r="C80" s="10" t="s">
        <v>731</v>
      </c>
      <c r="D80" s="6" t="s">
        <v>1248</v>
      </c>
      <c r="E80" s="17"/>
      <c r="F80" s="17" t="s">
        <v>1078</v>
      </c>
      <c r="G80" s="17"/>
      <c r="H80" s="17" t="s">
        <v>1078</v>
      </c>
      <c r="I80" s="17"/>
      <c r="J80" s="17"/>
      <c r="K80" s="17"/>
      <c r="L80" s="17"/>
      <c r="M80" s="18">
        <f>COUNTIF(E80:L80,"●")</f>
        <v>2</v>
      </c>
      <c r="N80" s="27" t="str">
        <f>IF(M80=0,"GAP","Covered")</f>
        <v>Covered</v>
      </c>
    </row>
    <row r="81" spans="1:14" x14ac:dyDescent="0.25">
      <c r="A81" s="17" t="s">
        <v>1249</v>
      </c>
      <c r="B81" s="4" t="s">
        <v>1209</v>
      </c>
      <c r="C81" s="10" t="s">
        <v>1250</v>
      </c>
      <c r="D81" s="6" t="s">
        <v>1251</v>
      </c>
      <c r="E81" s="17"/>
      <c r="F81" s="17"/>
      <c r="G81" s="17"/>
      <c r="H81" s="17"/>
      <c r="I81" s="17"/>
      <c r="J81" s="17"/>
      <c r="K81" s="17"/>
      <c r="L81" s="17" t="s">
        <v>1078</v>
      </c>
      <c r="M81" s="18">
        <f>COUNTIF(E81:L81,"●")</f>
        <v>1</v>
      </c>
      <c r="N81" s="27" t="str">
        <f>IF(M81=0,"GAP","Covered")</f>
        <v>Covered</v>
      </c>
    </row>
    <row r="82" spans="1:14" x14ac:dyDescent="0.25">
      <c r="A82" s="17" t="s">
        <v>1252</v>
      </c>
      <c r="B82" s="4" t="s">
        <v>1209</v>
      </c>
      <c r="C82" s="10" t="s">
        <v>1253</v>
      </c>
      <c r="D82" s="6" t="s">
        <v>1254</v>
      </c>
      <c r="E82" s="17"/>
      <c r="F82" s="17"/>
      <c r="G82" s="17"/>
      <c r="H82" s="17"/>
      <c r="I82" s="17"/>
      <c r="J82" s="17"/>
      <c r="K82" s="17"/>
      <c r="L82" s="17" t="s">
        <v>1078</v>
      </c>
      <c r="M82" s="18">
        <f>COUNTIF(E82:L82,"●")</f>
        <v>1</v>
      </c>
      <c r="N82" s="27" t="str">
        <f>IF(M82=0,"GAP","Covered")</f>
        <v>Covered</v>
      </c>
    </row>
    <row r="83" spans="1:14" x14ac:dyDescent="0.25">
      <c r="A83" s="17" t="s">
        <v>1255</v>
      </c>
      <c r="B83" s="4" t="s">
        <v>1256</v>
      </c>
      <c r="C83" s="10" t="s">
        <v>1257</v>
      </c>
      <c r="D83" s="6" t="s">
        <v>1258</v>
      </c>
      <c r="E83" s="17" t="s">
        <v>1078</v>
      </c>
      <c r="F83" s="17" t="s">
        <v>1078</v>
      </c>
      <c r="G83" s="17"/>
      <c r="H83" s="17" t="s">
        <v>1078</v>
      </c>
      <c r="I83" s="17"/>
      <c r="J83" s="17"/>
      <c r="K83" s="17"/>
      <c r="L83" s="17" t="s">
        <v>1078</v>
      </c>
      <c r="M83" s="18">
        <f>COUNTIF(E83:L83,"●")</f>
        <v>4</v>
      </c>
      <c r="N83" s="27" t="str">
        <f>IF(M83=0,"GAP","Covered")</f>
        <v>Covered</v>
      </c>
    </row>
    <row r="84" spans="1:14" x14ac:dyDescent="0.25">
      <c r="A84" s="17" t="s">
        <v>226</v>
      </c>
      <c r="B84" s="4" t="s">
        <v>1256</v>
      </c>
      <c r="C84" s="10" t="s">
        <v>1179</v>
      </c>
      <c r="D84" s="6" t="s">
        <v>1259</v>
      </c>
      <c r="E84" s="17" t="s">
        <v>1078</v>
      </c>
      <c r="F84" s="17" t="s">
        <v>1078</v>
      </c>
      <c r="G84" s="17"/>
      <c r="H84" s="17" t="s">
        <v>1078</v>
      </c>
      <c r="I84" s="17"/>
      <c r="J84" s="17"/>
      <c r="K84" s="17"/>
      <c r="L84" s="17" t="s">
        <v>1078</v>
      </c>
      <c r="M84" s="18">
        <f>COUNTIF(E84:L84,"●")</f>
        <v>4</v>
      </c>
      <c r="N84" s="27" t="str">
        <f>IF(M84=0,"GAP","Covered")</f>
        <v>Covered</v>
      </c>
    </row>
    <row r="85" spans="1:14" x14ac:dyDescent="0.25">
      <c r="A85" s="17" t="s">
        <v>1260</v>
      </c>
      <c r="B85" s="4" t="s">
        <v>1256</v>
      </c>
      <c r="C85" s="10" t="s">
        <v>1182</v>
      </c>
      <c r="D85" s="6" t="s">
        <v>1261</v>
      </c>
      <c r="E85" s="17"/>
      <c r="F85" s="17"/>
      <c r="G85" s="17"/>
      <c r="H85" s="17"/>
      <c r="I85" s="17"/>
      <c r="J85" s="17"/>
      <c r="K85" s="17"/>
      <c r="L85" s="17" t="s">
        <v>1078</v>
      </c>
      <c r="M85" s="18">
        <f>COUNTIF(E85:L85,"●")</f>
        <v>1</v>
      </c>
      <c r="N85" s="27" t="str">
        <f>IF(M85=0,"GAP","Covered")</f>
        <v>Covered</v>
      </c>
    </row>
    <row r="86" spans="1:14" x14ac:dyDescent="0.25">
      <c r="A86" s="17" t="s">
        <v>1262</v>
      </c>
      <c r="B86" s="4" t="s">
        <v>1256</v>
      </c>
      <c r="C86" s="10" t="s">
        <v>1185</v>
      </c>
      <c r="D86" s="6" t="s">
        <v>1263</v>
      </c>
      <c r="E86" s="17"/>
      <c r="F86" s="17"/>
      <c r="G86" s="17"/>
      <c r="H86" s="17"/>
      <c r="I86" s="17"/>
      <c r="J86" s="17"/>
      <c r="K86" s="17"/>
      <c r="L86" s="17" t="s">
        <v>1078</v>
      </c>
      <c r="M86" s="18">
        <f>COUNTIF(E86:L86,"●")</f>
        <v>1</v>
      </c>
      <c r="N86" s="27" t="str">
        <f>IF(M86=0,"GAP","Covered")</f>
        <v>Covered</v>
      </c>
    </row>
    <row r="87" spans="1:14" x14ac:dyDescent="0.25">
      <c r="A87" s="17" t="s">
        <v>1264</v>
      </c>
      <c r="B87" s="4" t="s">
        <v>1256</v>
      </c>
      <c r="C87" s="10" t="s">
        <v>1176</v>
      </c>
      <c r="D87" s="6" t="s">
        <v>1203</v>
      </c>
      <c r="E87" s="17"/>
      <c r="F87" s="17"/>
      <c r="G87" s="17"/>
      <c r="H87" s="17"/>
      <c r="I87" s="17"/>
      <c r="J87" s="17"/>
      <c r="K87" s="17"/>
      <c r="L87" s="17" t="s">
        <v>1078</v>
      </c>
      <c r="M87" s="18">
        <f>COUNTIF(E87:L87,"●")</f>
        <v>1</v>
      </c>
      <c r="N87" s="27" t="str">
        <f>IF(M87=0,"GAP","Covered")</f>
        <v>Covered</v>
      </c>
    </row>
    <row r="88" spans="1:14" x14ac:dyDescent="0.25">
      <c r="A88" s="17" t="s">
        <v>1265</v>
      </c>
      <c r="B88" s="4" t="s">
        <v>1256</v>
      </c>
      <c r="C88" s="10" t="s">
        <v>1188</v>
      </c>
      <c r="D88" s="6" t="s">
        <v>1205</v>
      </c>
      <c r="E88" s="17"/>
      <c r="F88" s="17"/>
      <c r="G88" s="17"/>
      <c r="H88" s="17"/>
      <c r="I88" s="17"/>
      <c r="J88" s="17"/>
      <c r="K88" s="17"/>
      <c r="L88" s="17" t="s">
        <v>1078</v>
      </c>
      <c r="M88" s="18">
        <f>COUNTIF(E88:L88,"●")</f>
        <v>1</v>
      </c>
      <c r="N88" s="27" t="str">
        <f>IF(M88=0,"GAP","Covered")</f>
        <v>Covered</v>
      </c>
    </row>
    <row r="89" spans="1:14" x14ac:dyDescent="0.25">
      <c r="A89" s="17" t="s">
        <v>1266</v>
      </c>
      <c r="B89" s="4" t="s">
        <v>1256</v>
      </c>
      <c r="C89" s="10" t="s">
        <v>1267</v>
      </c>
      <c r="D89" s="6" t="s">
        <v>1268</v>
      </c>
      <c r="E89" s="17" t="s">
        <v>1078</v>
      </c>
      <c r="F89" s="17" t="s">
        <v>1078</v>
      </c>
      <c r="G89" s="17"/>
      <c r="H89" s="17" t="s">
        <v>1078</v>
      </c>
      <c r="I89" s="17"/>
      <c r="J89" s="17"/>
      <c r="K89" s="17"/>
      <c r="L89" s="17"/>
      <c r="M89" s="18">
        <f>COUNTIF(E89:L89,"●")</f>
        <v>3</v>
      </c>
      <c r="N89" s="27" t="str">
        <f>IF(M89=0,"GAP","Covered")</f>
        <v>Covered</v>
      </c>
    </row>
    <row r="90" spans="1:14" x14ac:dyDescent="0.25">
      <c r="A90" s="17" t="s">
        <v>471</v>
      </c>
      <c r="B90" s="4" t="s">
        <v>1269</v>
      </c>
      <c r="C90" s="10" t="s">
        <v>1270</v>
      </c>
      <c r="D90" s="6" t="s">
        <v>1271</v>
      </c>
      <c r="E90" s="17" t="s">
        <v>1078</v>
      </c>
      <c r="F90" s="17" t="s">
        <v>1078</v>
      </c>
      <c r="G90" s="17" t="s">
        <v>1078</v>
      </c>
      <c r="H90" s="17" t="s">
        <v>1078</v>
      </c>
      <c r="I90" s="17" t="s">
        <v>1078</v>
      </c>
      <c r="J90" s="17" t="s">
        <v>1078</v>
      </c>
      <c r="K90" s="17" t="s">
        <v>1078</v>
      </c>
      <c r="L90" s="17" t="s">
        <v>1078</v>
      </c>
      <c r="M90" s="18">
        <f>COUNTIF(E90:L90,"●")</f>
        <v>8</v>
      </c>
      <c r="N90" s="27" t="str">
        <f>IF(M90=0,"GAP","Covered")</f>
        <v>Covered</v>
      </c>
    </row>
    <row r="91" spans="1:14" x14ac:dyDescent="0.25">
      <c r="A91" s="17" t="s">
        <v>1272</v>
      </c>
      <c r="B91" s="4" t="s">
        <v>1269</v>
      </c>
      <c r="C91" s="10" t="s">
        <v>1273</v>
      </c>
      <c r="D91" s="6" t="s">
        <v>1274</v>
      </c>
      <c r="E91" s="17" t="s">
        <v>1078</v>
      </c>
      <c r="F91" s="17" t="s">
        <v>1078</v>
      </c>
      <c r="G91" s="17" t="s">
        <v>1078</v>
      </c>
      <c r="H91" s="17" t="s">
        <v>1078</v>
      </c>
      <c r="I91" s="17" t="s">
        <v>1078</v>
      </c>
      <c r="J91" s="17" t="s">
        <v>1078</v>
      </c>
      <c r="K91" s="17" t="s">
        <v>1078</v>
      </c>
      <c r="L91" s="17" t="s">
        <v>1078</v>
      </c>
      <c r="M91" s="18">
        <f>COUNTIF(E91:L91,"●")</f>
        <v>8</v>
      </c>
      <c r="N91" s="27" t="str">
        <f>IF(M91=0,"GAP","Covered")</f>
        <v>Covered</v>
      </c>
    </row>
    <row r="92" spans="1:14" x14ac:dyDescent="0.25">
      <c r="A92" s="17" t="s">
        <v>1275</v>
      </c>
      <c r="B92" s="4" t="s">
        <v>1269</v>
      </c>
      <c r="C92" s="10" t="s">
        <v>1276</v>
      </c>
      <c r="D92" s="6" t="s">
        <v>1277</v>
      </c>
      <c r="E92" s="17" t="s">
        <v>1078</v>
      </c>
      <c r="F92" s="17" t="s">
        <v>1078</v>
      </c>
      <c r="G92" s="17"/>
      <c r="H92" s="17"/>
      <c r="I92" s="17"/>
      <c r="J92" s="17"/>
      <c r="K92" s="17"/>
      <c r="L92" s="17"/>
      <c r="M92" s="18">
        <f>COUNTIF(E92:L92,"●")</f>
        <v>2</v>
      </c>
      <c r="N92" s="27" t="str">
        <f>IF(M92=0,"GAP","Covered")</f>
        <v>Covered</v>
      </c>
    </row>
  </sheetData>
  <autoFilter ref="A5:N92"/>
  <mergeCells count="1">
    <mergeCell ref="A2:L2"/>
  </mergeCells>
  <conditionalFormatting sqref="A1:N92">
    <cfRule type="cellIs" dxfId="72" priority="1" operator="equal">
      <formula>"PASS"</formula>
    </cfRule>
    <cfRule type="cellIs" dxfId="73" priority="2" operator="equal">
      <formula>"OK"</formula>
    </cfRule>
    <cfRule type="cellIs" dxfId="74" priority="3" operator="equal">
      <formula>"Covered"</formula>
    </cfRule>
    <cfRule type="cellIs" dxfId="75" priority="4" operator="equal">
      <formula>"FAIL"</formula>
    </cfRule>
    <cfRule type="cellIs" dxfId="76" priority="5" operator="equal">
      <formula>"CHECK"</formula>
    </cfRule>
    <cfRule type="cellIs" dxfId="77" priority="6" operator="equal">
      <formula>"GAP"</formula>
    </cfRule>
  </conditionalFormatting>
  <pageSetup orientation="landscape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1B1B"/>
    <pageSetUpPr fitToPage="1"/>
  </sheetPr>
  <dimension ref="A1:F12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4" customWidth="1"/>
    <col min="3" max="3" width="80" customWidth="1"/>
    <col min="4" max="4" width="28" customWidth="1"/>
    <col min="5" max="5" width="14" customWidth="1"/>
    <col min="6" max="6" width="40" customWidth="1"/>
  </cols>
  <sheetData>
    <row r="1" spans="1:1" x14ac:dyDescent="0.25">
      <c r="A1" s="1" t="s">
        <v>1278</v>
      </c>
    </row>
    <row r="2" spans="1:6" x14ac:dyDescent="0.25">
      <c r="A2" s="2" t="s">
        <v>1279</v>
      </c>
      <c r="B2" s="2"/>
      <c r="C2" s="2"/>
      <c r="D2" s="2"/>
      <c r="E2" s="2"/>
      <c r="F2" s="2"/>
    </row>
    <row r="4" spans="1:6" x14ac:dyDescent="0.25">
      <c r="A4" s="16" t="s">
        <v>111</v>
      </c>
      <c r="B4" s="16" t="s">
        <v>683</v>
      </c>
      <c r="C4" s="16" t="s">
        <v>1280</v>
      </c>
      <c r="D4" s="16" t="s">
        <v>1281</v>
      </c>
      <c r="E4" s="16" t="s">
        <v>1282</v>
      </c>
      <c r="F4" s="16" t="s">
        <v>1283</v>
      </c>
    </row>
    <row r="5" spans="1:6" x14ac:dyDescent="0.25">
      <c r="A5" s="17" t="s">
        <v>1284</v>
      </c>
      <c r="B5" s="4" t="s">
        <v>1285</v>
      </c>
      <c r="C5" s="4" t="s">
        <v>1286</v>
      </c>
      <c r="D5" s="6" t="s">
        <v>1287</v>
      </c>
      <c r="E5" s="9"/>
      <c r="F5" s="9"/>
    </row>
    <row r="6" spans="1:6" x14ac:dyDescent="0.25">
      <c r="A6" s="17" t="s">
        <v>1288</v>
      </c>
      <c r="B6" s="4" t="s">
        <v>1289</v>
      </c>
      <c r="C6" s="4" t="s">
        <v>1290</v>
      </c>
      <c r="D6" s="6" t="s">
        <v>1291</v>
      </c>
      <c r="E6" s="9"/>
      <c r="F6" s="9"/>
    </row>
    <row r="7" spans="1:6" x14ac:dyDescent="0.25">
      <c r="A7" s="17" t="s">
        <v>1292</v>
      </c>
      <c r="B7" s="4" t="s">
        <v>1293</v>
      </c>
      <c r="C7" s="4" t="s">
        <v>1294</v>
      </c>
      <c r="D7" s="6" t="s">
        <v>1295</v>
      </c>
      <c r="E7" s="9"/>
      <c r="F7" s="9"/>
    </row>
    <row r="8" spans="1:6" x14ac:dyDescent="0.25">
      <c r="A8" s="17" t="s">
        <v>1296</v>
      </c>
      <c r="B8" s="4" t="s">
        <v>1297</v>
      </c>
      <c r="C8" s="4" t="s">
        <v>1298</v>
      </c>
      <c r="D8" s="6" t="s">
        <v>1299</v>
      </c>
      <c r="E8" s="9"/>
      <c r="F8" s="9"/>
    </row>
    <row r="9" spans="1:6" x14ac:dyDescent="0.25">
      <c r="A9" s="17" t="s">
        <v>1300</v>
      </c>
      <c r="B9" s="4" t="s">
        <v>1293</v>
      </c>
      <c r="C9" s="4" t="s">
        <v>1301</v>
      </c>
      <c r="D9" s="6" t="s">
        <v>1299</v>
      </c>
      <c r="E9" s="9"/>
      <c r="F9" s="9"/>
    </row>
    <row r="10" spans="1:6" x14ac:dyDescent="0.25">
      <c r="A10" s="17" t="s">
        <v>1302</v>
      </c>
      <c r="B10" s="4" t="s">
        <v>1303</v>
      </c>
      <c r="C10" s="4" t="s">
        <v>1304</v>
      </c>
      <c r="D10" s="6" t="s">
        <v>1305</v>
      </c>
      <c r="E10" s="9"/>
      <c r="F10" s="9"/>
    </row>
    <row r="11" spans="1:6" x14ac:dyDescent="0.25">
      <c r="A11" s="17" t="s">
        <v>1306</v>
      </c>
      <c r="B11" s="4" t="s">
        <v>1307</v>
      </c>
      <c r="C11" s="4" t="s">
        <v>1308</v>
      </c>
      <c r="D11" s="6" t="s">
        <v>1309</v>
      </c>
      <c r="E11" s="9"/>
      <c r="F11" s="9"/>
    </row>
    <row r="12" spans="1:6" x14ac:dyDescent="0.25">
      <c r="A12" s="17" t="s">
        <v>1310</v>
      </c>
      <c r="B12" s="4" t="s">
        <v>1311</v>
      </c>
      <c r="C12" s="4" t="s">
        <v>1312</v>
      </c>
      <c r="D12" s="6" t="s">
        <v>1295</v>
      </c>
      <c r="E12" s="9"/>
      <c r="F12" s="9"/>
    </row>
  </sheetData>
  <mergeCells count="1">
    <mergeCell ref="A2:F2"/>
  </mergeCells>
  <conditionalFormatting sqref="A1:F12">
    <cfRule type="cellIs" dxfId="78" priority="1" operator="equal">
      <formula>"PASS"</formula>
    </cfRule>
    <cfRule type="cellIs" dxfId="79" priority="2" operator="equal">
      <formula>"OK"</formula>
    </cfRule>
    <cfRule type="cellIs" dxfId="80" priority="3" operator="equal">
      <formula>"Covered"</formula>
    </cfRule>
    <cfRule type="cellIs" dxfId="81" priority="4" operator="equal">
      <formula>"FAIL"</formula>
    </cfRule>
    <cfRule type="cellIs" dxfId="82" priority="5" operator="equal">
      <formula>"CHECK"</formula>
    </cfRule>
    <cfRule type="cellIs" dxfId="83" priority="6" operator="equal">
      <formula>"GAP"</formula>
    </cfRule>
  </conditionalFormatting>
  <dataValidations count="2">
    <dataValidation type="list" allowBlank="1" sqref="E10:E12">
      <formula1>"Confirmed,Not seen,Partly"</formula1>
    </dataValidation>
    <dataValidation type="list" allowBlank="1" sqref="E5:E12">
      <formula1>"Confirmed,Not seen,Partly"</formula1>
    </dataValidation>
  </dataValidations>
  <pageSetup orientation="landscape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1B1B"/>
    <pageSetUpPr fitToPage="1"/>
  </sheetPr>
  <dimension ref="A1:J44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1" customWidth="1"/>
    <col min="3" max="3" width="14" customWidth="1"/>
    <col min="4" max="4" width="11" customWidth="1"/>
    <col min="5" max="5" width="13" customWidth="1"/>
    <col min="6" max="7" width="38" customWidth="1"/>
    <col min="8" max="8" width="22" customWidth="1"/>
    <col min="9" max="9" width="11" customWidth="1"/>
    <col min="10" max="10" width="24" customWidth="1"/>
  </cols>
  <sheetData>
    <row r="1" spans="1:1" x14ac:dyDescent="0.25">
      <c r="A1" s="1" t="s">
        <v>1313</v>
      </c>
    </row>
    <row r="2" spans="1:10" x14ac:dyDescent="0.25">
      <c r="A2" s="2" t="s">
        <v>1314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16" t="s">
        <v>111</v>
      </c>
      <c r="B4" s="16" t="s">
        <v>1315</v>
      </c>
      <c r="C4" s="16" t="s">
        <v>1316</v>
      </c>
      <c r="D4" s="16" t="s">
        <v>1317</v>
      </c>
      <c r="E4" s="16" t="s">
        <v>1318</v>
      </c>
      <c r="F4" s="16" t="s">
        <v>709</v>
      </c>
      <c r="G4" s="16" t="s">
        <v>1319</v>
      </c>
      <c r="H4" s="16" t="s">
        <v>1320</v>
      </c>
      <c r="I4" s="16" t="s">
        <v>162</v>
      </c>
      <c r="J4" s="16" t="s">
        <v>871</v>
      </c>
    </row>
    <row r="5" spans="1:10" x14ac:dyDescent="0.25">
      <c r="A5" s="17" t="s">
        <v>1321</v>
      </c>
      <c r="B5" s="37"/>
      <c r="C5" s="9"/>
      <c r="D5" s="9"/>
      <c r="E5" s="9"/>
      <c r="F5" s="9"/>
      <c r="G5" s="9"/>
      <c r="H5" s="9"/>
      <c r="I5" s="9"/>
      <c r="J5" s="9"/>
    </row>
    <row r="6" spans="1:10" x14ac:dyDescent="0.25">
      <c r="A6" s="17" t="s">
        <v>1322</v>
      </c>
      <c r="B6" s="37"/>
      <c r="C6" s="9"/>
      <c r="D6" s="9"/>
      <c r="E6" s="9"/>
      <c r="F6" s="9"/>
      <c r="G6" s="9"/>
      <c r="H6" s="9"/>
      <c r="I6" s="9"/>
      <c r="J6" s="9"/>
    </row>
    <row r="7" spans="1:10" x14ac:dyDescent="0.25">
      <c r="A7" s="17" t="s">
        <v>1323</v>
      </c>
      <c r="B7" s="37"/>
      <c r="C7" s="9"/>
      <c r="D7" s="9"/>
      <c r="E7" s="9"/>
      <c r="F7" s="9"/>
      <c r="G7" s="9"/>
      <c r="H7" s="9"/>
      <c r="I7" s="9"/>
      <c r="J7" s="9"/>
    </row>
    <row r="8" spans="1:10" x14ac:dyDescent="0.25">
      <c r="A8" s="17" t="s">
        <v>1324</v>
      </c>
      <c r="B8" s="37"/>
      <c r="C8" s="9"/>
      <c r="D8" s="9"/>
      <c r="E8" s="9"/>
      <c r="F8" s="9"/>
      <c r="G8" s="9"/>
      <c r="H8" s="9"/>
      <c r="I8" s="9"/>
      <c r="J8" s="9"/>
    </row>
    <row r="9" spans="1:10" x14ac:dyDescent="0.25">
      <c r="A9" s="17" t="s">
        <v>1325</v>
      </c>
      <c r="B9" s="37"/>
      <c r="C9" s="9"/>
      <c r="D9" s="9"/>
      <c r="E9" s="9"/>
      <c r="F9" s="9"/>
      <c r="G9" s="9"/>
      <c r="H9" s="9"/>
      <c r="I9" s="9"/>
      <c r="J9" s="9"/>
    </row>
    <row r="10" spans="1:10" x14ac:dyDescent="0.25">
      <c r="A10" s="17" t="s">
        <v>1326</v>
      </c>
      <c r="B10" s="37"/>
      <c r="C10" s="9"/>
      <c r="D10" s="9"/>
      <c r="E10" s="9"/>
      <c r="F10" s="9"/>
      <c r="G10" s="9"/>
      <c r="H10" s="9"/>
      <c r="I10" s="9"/>
      <c r="J10" s="9"/>
    </row>
    <row r="11" spans="1:10" x14ac:dyDescent="0.25">
      <c r="A11" s="17" t="s">
        <v>1327</v>
      </c>
      <c r="B11" s="37"/>
      <c r="C11" s="9"/>
      <c r="D11" s="9"/>
      <c r="E11" s="9"/>
      <c r="F11" s="9"/>
      <c r="G11" s="9"/>
      <c r="H11" s="9"/>
      <c r="I11" s="9"/>
      <c r="J11" s="9"/>
    </row>
    <row r="12" spans="1:10" x14ac:dyDescent="0.25">
      <c r="A12" s="17" t="s">
        <v>1328</v>
      </c>
      <c r="B12" s="37"/>
      <c r="C12" s="9"/>
      <c r="D12" s="9"/>
      <c r="E12" s="9"/>
      <c r="F12" s="9"/>
      <c r="G12" s="9"/>
      <c r="H12" s="9"/>
      <c r="I12" s="9"/>
      <c r="J12" s="9"/>
    </row>
    <row r="13" spans="1:10" x14ac:dyDescent="0.25">
      <c r="A13" s="17" t="s">
        <v>1329</v>
      </c>
      <c r="B13" s="37"/>
      <c r="C13" s="9"/>
      <c r="D13" s="9"/>
      <c r="E13" s="9"/>
      <c r="F13" s="9"/>
      <c r="G13" s="9"/>
      <c r="H13" s="9"/>
      <c r="I13" s="9"/>
      <c r="J13" s="9"/>
    </row>
    <row r="14" spans="1:10" x14ac:dyDescent="0.25">
      <c r="A14" s="17" t="s">
        <v>1330</v>
      </c>
      <c r="B14" s="37"/>
      <c r="C14" s="9"/>
      <c r="D14" s="9"/>
      <c r="E14" s="9"/>
      <c r="F14" s="9"/>
      <c r="G14" s="9"/>
      <c r="H14" s="9"/>
      <c r="I14" s="9"/>
      <c r="J14" s="9"/>
    </row>
    <row r="15" spans="1:10" x14ac:dyDescent="0.25">
      <c r="A15" s="17" t="s">
        <v>1331</v>
      </c>
      <c r="B15" s="37"/>
      <c r="C15" s="9"/>
      <c r="D15" s="9"/>
      <c r="E15" s="9"/>
      <c r="F15" s="9"/>
      <c r="G15" s="9"/>
      <c r="H15" s="9"/>
      <c r="I15" s="9"/>
      <c r="J15" s="9"/>
    </row>
    <row r="16" spans="1:10" x14ac:dyDescent="0.25">
      <c r="A16" s="17" t="s">
        <v>1332</v>
      </c>
      <c r="B16" s="37"/>
      <c r="C16" s="9"/>
      <c r="D16" s="9"/>
      <c r="E16" s="9"/>
      <c r="F16" s="9"/>
      <c r="G16" s="9"/>
      <c r="H16" s="9"/>
      <c r="I16" s="9"/>
      <c r="J16" s="9"/>
    </row>
    <row r="17" spans="1:10" x14ac:dyDescent="0.25">
      <c r="A17" s="17" t="s">
        <v>1333</v>
      </c>
      <c r="B17" s="37"/>
      <c r="C17" s="9"/>
      <c r="D17" s="9"/>
      <c r="E17" s="9"/>
      <c r="F17" s="9"/>
      <c r="G17" s="9"/>
      <c r="H17" s="9"/>
      <c r="I17" s="9"/>
      <c r="J17" s="9"/>
    </row>
    <row r="18" spans="1:10" x14ac:dyDescent="0.25">
      <c r="A18" s="17" t="s">
        <v>1334</v>
      </c>
      <c r="B18" s="37"/>
      <c r="C18" s="9"/>
      <c r="D18" s="9"/>
      <c r="E18" s="9"/>
      <c r="F18" s="9"/>
      <c r="G18" s="9"/>
      <c r="H18" s="9"/>
      <c r="I18" s="9"/>
      <c r="J18" s="9"/>
    </row>
    <row r="19" spans="1:10" x14ac:dyDescent="0.25">
      <c r="A19" s="17" t="s">
        <v>1335</v>
      </c>
      <c r="B19" s="37"/>
      <c r="C19" s="9"/>
      <c r="D19" s="9"/>
      <c r="E19" s="9"/>
      <c r="F19" s="9"/>
      <c r="G19" s="9"/>
      <c r="H19" s="9"/>
      <c r="I19" s="9"/>
      <c r="J19" s="9"/>
    </row>
    <row r="20" spans="1:10" x14ac:dyDescent="0.25">
      <c r="A20" s="17" t="s">
        <v>1336</v>
      </c>
      <c r="B20" s="37"/>
      <c r="C20" s="9"/>
      <c r="D20" s="9"/>
      <c r="E20" s="9"/>
      <c r="F20" s="9"/>
      <c r="G20" s="9"/>
      <c r="H20" s="9"/>
      <c r="I20" s="9"/>
      <c r="J20" s="9"/>
    </row>
    <row r="21" spans="1:10" x14ac:dyDescent="0.25">
      <c r="A21" s="17" t="s">
        <v>1337</v>
      </c>
      <c r="B21" s="37"/>
      <c r="C21" s="9"/>
      <c r="D21" s="9"/>
      <c r="E21" s="9"/>
      <c r="F21" s="9"/>
      <c r="G21" s="9"/>
      <c r="H21" s="9"/>
      <c r="I21" s="9"/>
      <c r="J21" s="9"/>
    </row>
    <row r="22" spans="1:10" x14ac:dyDescent="0.25">
      <c r="A22" s="17" t="s">
        <v>1338</v>
      </c>
      <c r="B22" s="37"/>
      <c r="C22" s="9"/>
      <c r="D22" s="9"/>
      <c r="E22" s="9"/>
      <c r="F22" s="9"/>
      <c r="G22" s="9"/>
      <c r="H22" s="9"/>
      <c r="I22" s="9"/>
      <c r="J22" s="9"/>
    </row>
    <row r="23" spans="1:10" x14ac:dyDescent="0.25">
      <c r="A23" s="17" t="s">
        <v>1339</v>
      </c>
      <c r="B23" s="37"/>
      <c r="C23" s="9"/>
      <c r="D23" s="9"/>
      <c r="E23" s="9"/>
      <c r="F23" s="9"/>
      <c r="G23" s="9"/>
      <c r="H23" s="9"/>
      <c r="I23" s="9"/>
      <c r="J23" s="9"/>
    </row>
    <row r="24" spans="1:10" x14ac:dyDescent="0.25">
      <c r="A24" s="17" t="s">
        <v>1340</v>
      </c>
      <c r="B24" s="37"/>
      <c r="C24" s="9"/>
      <c r="D24" s="9"/>
      <c r="E24" s="9"/>
      <c r="F24" s="9"/>
      <c r="G24" s="9"/>
      <c r="H24" s="9"/>
      <c r="I24" s="9"/>
      <c r="J24" s="9"/>
    </row>
    <row r="25" spans="1:10" x14ac:dyDescent="0.25">
      <c r="A25" s="17" t="s">
        <v>1341</v>
      </c>
      <c r="B25" s="37"/>
      <c r="C25" s="9"/>
      <c r="D25" s="9"/>
      <c r="E25" s="9"/>
      <c r="F25" s="9"/>
      <c r="G25" s="9"/>
      <c r="H25" s="9"/>
      <c r="I25" s="9"/>
      <c r="J25" s="9"/>
    </row>
    <row r="26" spans="1:10" x14ac:dyDescent="0.25">
      <c r="A26" s="17" t="s">
        <v>1342</v>
      </c>
      <c r="B26" s="37"/>
      <c r="C26" s="9"/>
      <c r="D26" s="9"/>
      <c r="E26" s="9"/>
      <c r="F26" s="9"/>
      <c r="G26" s="9"/>
      <c r="H26" s="9"/>
      <c r="I26" s="9"/>
      <c r="J26" s="9"/>
    </row>
    <row r="27" spans="1:10" x14ac:dyDescent="0.25">
      <c r="A27" s="17" t="s">
        <v>1343</v>
      </c>
      <c r="B27" s="37"/>
      <c r="C27" s="9"/>
      <c r="D27" s="9"/>
      <c r="E27" s="9"/>
      <c r="F27" s="9"/>
      <c r="G27" s="9"/>
      <c r="H27" s="9"/>
      <c r="I27" s="9"/>
      <c r="J27" s="9"/>
    </row>
    <row r="28" spans="1:10" x14ac:dyDescent="0.25">
      <c r="A28" s="17" t="s">
        <v>1344</v>
      </c>
      <c r="B28" s="37"/>
      <c r="C28" s="9"/>
      <c r="D28" s="9"/>
      <c r="E28" s="9"/>
      <c r="F28" s="9"/>
      <c r="G28" s="9"/>
      <c r="H28" s="9"/>
      <c r="I28" s="9"/>
      <c r="J28" s="9"/>
    </row>
    <row r="29" spans="1:10" x14ac:dyDescent="0.25">
      <c r="A29" s="17" t="s">
        <v>1345</v>
      </c>
      <c r="B29" s="37"/>
      <c r="C29" s="9"/>
      <c r="D29" s="9"/>
      <c r="E29" s="9"/>
      <c r="F29" s="9"/>
      <c r="G29" s="9"/>
      <c r="H29" s="9"/>
      <c r="I29" s="9"/>
      <c r="J29" s="9"/>
    </row>
    <row r="30" spans="1:10" x14ac:dyDescent="0.25">
      <c r="A30" s="17" t="s">
        <v>1346</v>
      </c>
      <c r="B30" s="37"/>
      <c r="C30" s="9"/>
      <c r="D30" s="9"/>
      <c r="E30" s="9"/>
      <c r="F30" s="9"/>
      <c r="G30" s="9"/>
      <c r="H30" s="9"/>
      <c r="I30" s="9"/>
      <c r="J30" s="9"/>
    </row>
    <row r="31" spans="1:10" x14ac:dyDescent="0.25">
      <c r="A31" s="17" t="s">
        <v>1347</v>
      </c>
      <c r="B31" s="37"/>
      <c r="C31" s="9"/>
      <c r="D31" s="9"/>
      <c r="E31" s="9"/>
      <c r="F31" s="9"/>
      <c r="G31" s="9"/>
      <c r="H31" s="9"/>
      <c r="I31" s="9"/>
      <c r="J31" s="9"/>
    </row>
    <row r="32" spans="1:10" x14ac:dyDescent="0.25">
      <c r="A32" s="17" t="s">
        <v>1348</v>
      </c>
      <c r="B32" s="37"/>
      <c r="C32" s="9"/>
      <c r="D32" s="9"/>
      <c r="E32" s="9"/>
      <c r="F32" s="9"/>
      <c r="G32" s="9"/>
      <c r="H32" s="9"/>
      <c r="I32" s="9"/>
      <c r="J32" s="9"/>
    </row>
    <row r="33" spans="1:10" x14ac:dyDescent="0.25">
      <c r="A33" s="17" t="s">
        <v>1349</v>
      </c>
      <c r="B33" s="37"/>
      <c r="C33" s="9"/>
      <c r="D33" s="9"/>
      <c r="E33" s="9"/>
      <c r="F33" s="9"/>
      <c r="G33" s="9"/>
      <c r="H33" s="9"/>
      <c r="I33" s="9"/>
      <c r="J33" s="9"/>
    </row>
    <row r="34" spans="1:10" x14ac:dyDescent="0.25">
      <c r="A34" s="17" t="s">
        <v>1350</v>
      </c>
      <c r="B34" s="37"/>
      <c r="C34" s="9"/>
      <c r="D34" s="9"/>
      <c r="E34" s="9"/>
      <c r="F34" s="9"/>
      <c r="G34" s="9"/>
      <c r="H34" s="9"/>
      <c r="I34" s="9"/>
      <c r="J34" s="9"/>
    </row>
    <row r="35" spans="1:10" x14ac:dyDescent="0.25">
      <c r="A35" s="17" t="s">
        <v>1351</v>
      </c>
      <c r="B35" s="37"/>
      <c r="C35" s="9"/>
      <c r="D35" s="9"/>
      <c r="E35" s="9"/>
      <c r="F35" s="9"/>
      <c r="G35" s="9"/>
      <c r="H35" s="9"/>
      <c r="I35" s="9"/>
      <c r="J35" s="9"/>
    </row>
    <row r="36" spans="1:10" x14ac:dyDescent="0.25">
      <c r="A36" s="17" t="s">
        <v>1352</v>
      </c>
      <c r="B36" s="37"/>
      <c r="C36" s="9"/>
      <c r="D36" s="9"/>
      <c r="E36" s="9"/>
      <c r="F36" s="9"/>
      <c r="G36" s="9"/>
      <c r="H36" s="9"/>
      <c r="I36" s="9"/>
      <c r="J36" s="9"/>
    </row>
    <row r="37" spans="1:10" x14ac:dyDescent="0.25">
      <c r="A37" s="17" t="s">
        <v>1353</v>
      </c>
      <c r="B37" s="37"/>
      <c r="C37" s="9"/>
      <c r="D37" s="9"/>
      <c r="E37" s="9"/>
      <c r="F37" s="9"/>
      <c r="G37" s="9"/>
      <c r="H37" s="9"/>
      <c r="I37" s="9"/>
      <c r="J37" s="9"/>
    </row>
    <row r="38" spans="1:10" x14ac:dyDescent="0.25">
      <c r="A38" s="17" t="s">
        <v>1354</v>
      </c>
      <c r="B38" s="37"/>
      <c r="C38" s="9"/>
      <c r="D38" s="9"/>
      <c r="E38" s="9"/>
      <c r="F38" s="9"/>
      <c r="G38" s="9"/>
      <c r="H38" s="9"/>
      <c r="I38" s="9"/>
      <c r="J38" s="9"/>
    </row>
    <row r="39" spans="1:10" x14ac:dyDescent="0.25">
      <c r="A39" s="17" t="s">
        <v>1355</v>
      </c>
      <c r="B39" s="37"/>
      <c r="C39" s="9"/>
      <c r="D39" s="9"/>
      <c r="E39" s="9"/>
      <c r="F39" s="9"/>
      <c r="G39" s="9"/>
      <c r="H39" s="9"/>
      <c r="I39" s="9"/>
      <c r="J39" s="9"/>
    </row>
    <row r="40" spans="1:10" x14ac:dyDescent="0.25">
      <c r="A40" s="17" t="s">
        <v>1356</v>
      </c>
      <c r="B40" s="37"/>
      <c r="C40" s="9"/>
      <c r="D40" s="9"/>
      <c r="E40" s="9"/>
      <c r="F40" s="9"/>
      <c r="G40" s="9"/>
      <c r="H40" s="9"/>
      <c r="I40" s="9"/>
      <c r="J40" s="9"/>
    </row>
    <row r="41" spans="1:10" x14ac:dyDescent="0.25">
      <c r="A41" s="17" t="s">
        <v>1357</v>
      </c>
      <c r="B41" s="37"/>
      <c r="C41" s="9"/>
      <c r="D41" s="9"/>
      <c r="E41" s="9"/>
      <c r="F41" s="9"/>
      <c r="G41" s="9"/>
      <c r="H41" s="9"/>
      <c r="I41" s="9"/>
      <c r="J41" s="9"/>
    </row>
    <row r="42" spans="1:10" x14ac:dyDescent="0.25">
      <c r="A42" s="17" t="s">
        <v>1358</v>
      </c>
      <c r="B42" s="37"/>
      <c r="C42" s="9"/>
      <c r="D42" s="9"/>
      <c r="E42" s="9"/>
      <c r="F42" s="9"/>
      <c r="G42" s="9"/>
      <c r="H42" s="9"/>
      <c r="I42" s="9"/>
      <c r="J42" s="9"/>
    </row>
    <row r="43" spans="1:10" x14ac:dyDescent="0.25">
      <c r="A43" s="17" t="s">
        <v>1359</v>
      </c>
      <c r="B43" s="37"/>
      <c r="C43" s="9"/>
      <c r="D43" s="9"/>
      <c r="E43" s="9"/>
      <c r="F43" s="9"/>
      <c r="G43" s="9"/>
      <c r="H43" s="9"/>
      <c r="I43" s="9"/>
      <c r="J43" s="9"/>
    </row>
    <row r="44" spans="1:10" x14ac:dyDescent="0.25">
      <c r="A44" s="17" t="s">
        <v>1360</v>
      </c>
      <c r="B44" s="37"/>
      <c r="C44" s="9"/>
      <c r="D44" s="9"/>
      <c r="E44" s="9"/>
      <c r="F44" s="9"/>
      <c r="G44" s="9"/>
      <c r="H44" s="9"/>
      <c r="I44" s="9"/>
      <c r="J44" s="9"/>
    </row>
  </sheetData>
  <mergeCells count="1">
    <mergeCell ref="A2:J2"/>
  </mergeCells>
  <conditionalFormatting sqref="A1:J44">
    <cfRule type="cellIs" dxfId="84" priority="1" operator="equal">
      <formula>"PASS"</formula>
    </cfRule>
    <cfRule type="cellIs" dxfId="85" priority="2" operator="equal">
      <formula>"OK"</formula>
    </cfRule>
    <cfRule type="cellIs" dxfId="86" priority="3" operator="equal">
      <formula>"Covered"</formula>
    </cfRule>
    <cfRule type="cellIs" dxfId="87" priority="4" operator="equal">
      <formula>"FAIL"</formula>
    </cfRule>
    <cfRule type="cellIs" dxfId="88" priority="5" operator="equal">
      <formula>"CHECK"</formula>
    </cfRule>
    <cfRule type="cellIs" dxfId="89" priority="6" operator="equal">
      <formula>"GAP"</formula>
    </cfRule>
  </conditionalFormatting>
  <dataValidations count="6">
    <dataValidation type="list" allowBlank="1" sqref="D10:D44">
      <formula1>"Blocker,High,Medium,Low"</formula1>
    </dataValidation>
    <dataValidation type="list" allowBlank="1" sqref="D5:D44">
      <formula1>"Blocker,High,Medium,Low"</formula1>
    </dataValidation>
    <dataValidation type="list" allowBlank="1" sqref="E10:E44">
      <formula1>"Math,Email,Control,Workflow,Data,UX"</formula1>
    </dataValidation>
    <dataValidation type="list" allowBlank="1" sqref="E5:E44">
      <formula1>"Math,Email,Control,Workflow,Data,UX"</formula1>
    </dataValidation>
    <dataValidation type="list" allowBlank="1" sqref="I10:I44">
      <formula1>"Open,Fixed,Retest,Closed,Won't fix"</formula1>
    </dataValidation>
    <dataValidation type="list" allowBlank="1" sqref="I5:I44">
      <formula1>"Open,Fixed,Retest,Closed,Won't fix"</formula1>
    </dataValidation>
  </dataValidation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Setup</vt:lpstr>
      <vt:lpstr>Scenarios</vt:lpstr>
      <vt:lpstr>Steps</vt:lpstr>
      <vt:lpstr>S1</vt:lpstr>
      <vt:lpstr>S2</vt:lpstr>
      <vt:lpstr>S3</vt:lpstr>
      <vt:lpstr>S4</vt:lpstr>
      <vt:lpstr>S5</vt:lpstr>
      <vt:lpstr>S6</vt:lpstr>
      <vt:lpstr>S7</vt:lpstr>
      <vt:lpstr>S8</vt:lpstr>
      <vt:lpstr>Emails</vt:lpstr>
      <vt:lpstr>Controls</vt:lpstr>
      <vt:lpstr>Watch List</vt:lpstr>
      <vt:lpstr>Defects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 plan generator</dc:creator>
  <dc:title/>
  <dc:subject/>
  <dc:description/>
  <cp:keywords/>
  <cp:category/>
  <cp:lastModifiedBy>Unknown</cp:lastModifiedBy>
  <dcterms:created xsi:type="dcterms:W3CDTF">2026-10-02T14:08:38Z</dcterms:created>
  <dcterms:modified xsi:type="dcterms:W3CDTF">2026-10-02T14:08:38Z</dcterms:modified>
</cp:coreProperties>
</file>